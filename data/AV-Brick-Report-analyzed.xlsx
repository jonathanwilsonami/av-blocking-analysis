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https://gmuedu-my.sharepoint.com/personal/cummings_gmu_edu/Documents/Attachments/"/>
    </mc:Choice>
  </mc:AlternateContent>
  <xr:revisionPtr revIDLastSave="151" documentId="13_ncr:1_{ADAE5519-9188-F040-8794-A1805E90BE60}" xr6:coauthVersionLast="47" xr6:coauthVersionMax="47" xr10:uidLastSave="{D843D0FD-F461-8941-A7A7-B47A02B91429}"/>
  <bookViews>
    <workbookView xWindow="0" yWindow="500" windowWidth="25600" windowHeight="15500" activeTab="3" xr2:uid="{00000000-000D-0000-FFFF-FFFF00000000}"/>
  </bookViews>
  <sheets>
    <sheet name="DEM Incidents" sheetId="1" r:id="rId1"/>
    <sheet name="Legend" sheetId="2" r:id="rId2"/>
    <sheet name="DEM Incidents Quant" sheetId="8" r:id="rId3"/>
    <sheet name="plots and stats" sheetId="9" r:id="rId4"/>
  </sheets>
  <definedNames>
    <definedName name="_xlnm._FilterDatabase" localSheetId="0" hidden="1">'DEM Incidents'!$A$1:$F$1</definedName>
    <definedName name="_xlnm._FilterDatabase" localSheetId="2" hidden="1">'DEM Incidents Quant'!$A$1:$E$1</definedName>
    <definedName name="_xlchart.v1.0" hidden="1">'plots and stats'!$D$1</definedName>
    <definedName name="_xlchart.v1.1" hidden="1">'plots and stats'!$D$2:$D$7</definedName>
    <definedName name="_xlchart.v1.2" hidden="1">'plots and stats'!$E$1</definedName>
    <definedName name="_xlchart.v1.3" hidden="1">'plots and stats'!$E$2:$E$7</definedName>
    <definedName name="_xlchart.v2.4" hidden="1">'plots and stats'!$D$1</definedName>
    <definedName name="_xlchart.v2.5" hidden="1">'plots and stats'!$D$2:$D$7</definedName>
    <definedName name="_xlchart.v2.6" hidden="1">'plots and stats'!$E$1</definedName>
    <definedName name="_xlchart.v2.7" hidden="1">'plots and stats'!$E$2:$E$7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9" l="1"/>
  <c r="E6" i="9"/>
  <c r="E5" i="9"/>
  <c r="E4" i="9"/>
  <c r="E3" i="9"/>
  <c r="E2" i="9"/>
  <c r="J8" i="9"/>
  <c r="J7" i="9"/>
  <c r="J6" i="9"/>
  <c r="J5" i="9"/>
  <c r="J4" i="9"/>
  <c r="J3" i="9"/>
  <c r="I8" i="9"/>
  <c r="I7" i="9"/>
  <c r="I6" i="9"/>
  <c r="I5" i="9"/>
  <c r="I4" i="9"/>
  <c r="I3" i="9"/>
  <c r="H8" i="9"/>
  <c r="H7" i="9"/>
  <c r="H6" i="9"/>
  <c r="H5" i="9"/>
  <c r="H4" i="9"/>
  <c r="H3" i="9"/>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2" i="8"/>
  <c r="M10" i="8"/>
  <c r="M14" i="8"/>
  <c r="M18" i="8"/>
  <c r="M22" i="8"/>
  <c r="M26" i="8"/>
  <c r="M30" i="8"/>
  <c r="M34" i="8"/>
  <c r="M38" i="8"/>
  <c r="M42" i="8"/>
  <c r="M46" i="8"/>
  <c r="M50" i="8"/>
  <c r="M54" i="8"/>
  <c r="M58" i="8"/>
  <c r="M62" i="8"/>
  <c r="M66" i="8"/>
  <c r="M70" i="8"/>
  <c r="M74" i="8"/>
  <c r="M78" i="8"/>
  <c r="M82" i="8"/>
  <c r="M86" i="8"/>
  <c r="M96" i="8"/>
  <c r="I2" i="8"/>
  <c r="L89" i="8"/>
  <c r="M89" i="8" s="1"/>
  <c r="L96" i="8"/>
  <c r="L111" i="8"/>
  <c r="M111" i="8" s="1"/>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K3" i="8"/>
  <c r="L3" i="8" s="1"/>
  <c r="M3" i="8" s="1"/>
  <c r="K4" i="8"/>
  <c r="L4" i="8" s="1"/>
  <c r="M4" i="8" s="1"/>
  <c r="K5" i="8"/>
  <c r="L5" i="8" s="1"/>
  <c r="M5" i="8" s="1"/>
  <c r="K6" i="8"/>
  <c r="L6" i="8" s="1"/>
  <c r="M6" i="8" s="1"/>
  <c r="K7" i="8"/>
  <c r="L7" i="8" s="1"/>
  <c r="M7" i="8" s="1"/>
  <c r="K8" i="8"/>
  <c r="L8" i="8" s="1"/>
  <c r="M8" i="8" s="1"/>
  <c r="K9" i="8"/>
  <c r="L9" i="8" s="1"/>
  <c r="M9" i="8" s="1"/>
  <c r="K10" i="8"/>
  <c r="L10" i="8" s="1"/>
  <c r="K11" i="8"/>
  <c r="L11" i="8" s="1"/>
  <c r="M11" i="8" s="1"/>
  <c r="K12" i="8"/>
  <c r="L12" i="8" s="1"/>
  <c r="M12" i="8" s="1"/>
  <c r="K13" i="8"/>
  <c r="L13" i="8" s="1"/>
  <c r="M13" i="8" s="1"/>
  <c r="K14" i="8"/>
  <c r="L14" i="8" s="1"/>
  <c r="K15" i="8"/>
  <c r="L15" i="8" s="1"/>
  <c r="M15" i="8" s="1"/>
  <c r="K16" i="8"/>
  <c r="L16" i="8" s="1"/>
  <c r="M16" i="8" s="1"/>
  <c r="K17" i="8"/>
  <c r="L17" i="8" s="1"/>
  <c r="M17" i="8" s="1"/>
  <c r="K18" i="8"/>
  <c r="L18" i="8" s="1"/>
  <c r="K19" i="8"/>
  <c r="L19" i="8" s="1"/>
  <c r="M19" i="8" s="1"/>
  <c r="K20" i="8"/>
  <c r="L20" i="8" s="1"/>
  <c r="M20" i="8" s="1"/>
  <c r="K21" i="8"/>
  <c r="L21" i="8" s="1"/>
  <c r="M21" i="8" s="1"/>
  <c r="K22" i="8"/>
  <c r="L22" i="8" s="1"/>
  <c r="K23" i="8"/>
  <c r="L23" i="8" s="1"/>
  <c r="M23" i="8" s="1"/>
  <c r="K24" i="8"/>
  <c r="L24" i="8" s="1"/>
  <c r="M24" i="8" s="1"/>
  <c r="K25" i="8"/>
  <c r="L25" i="8" s="1"/>
  <c r="M25" i="8" s="1"/>
  <c r="K26" i="8"/>
  <c r="L26" i="8" s="1"/>
  <c r="K27" i="8"/>
  <c r="L27" i="8" s="1"/>
  <c r="M27" i="8" s="1"/>
  <c r="K28" i="8"/>
  <c r="L28" i="8" s="1"/>
  <c r="M28" i="8" s="1"/>
  <c r="K29" i="8"/>
  <c r="L29" i="8" s="1"/>
  <c r="M29" i="8" s="1"/>
  <c r="K30" i="8"/>
  <c r="L30" i="8" s="1"/>
  <c r="K31" i="8"/>
  <c r="L31" i="8" s="1"/>
  <c r="M31" i="8" s="1"/>
  <c r="K32" i="8"/>
  <c r="L32" i="8" s="1"/>
  <c r="M32" i="8" s="1"/>
  <c r="K33" i="8"/>
  <c r="L33" i="8" s="1"/>
  <c r="M33" i="8" s="1"/>
  <c r="K34" i="8"/>
  <c r="L34" i="8" s="1"/>
  <c r="K35" i="8"/>
  <c r="L35" i="8" s="1"/>
  <c r="M35" i="8" s="1"/>
  <c r="K36" i="8"/>
  <c r="L36" i="8" s="1"/>
  <c r="M36" i="8" s="1"/>
  <c r="K37" i="8"/>
  <c r="L37" i="8" s="1"/>
  <c r="M37" i="8" s="1"/>
  <c r="K38" i="8"/>
  <c r="L38" i="8" s="1"/>
  <c r="K39" i="8"/>
  <c r="L39" i="8" s="1"/>
  <c r="M39" i="8" s="1"/>
  <c r="K40" i="8"/>
  <c r="L40" i="8" s="1"/>
  <c r="M40" i="8" s="1"/>
  <c r="K41" i="8"/>
  <c r="L41" i="8" s="1"/>
  <c r="M41" i="8" s="1"/>
  <c r="K42" i="8"/>
  <c r="L42" i="8" s="1"/>
  <c r="K43" i="8"/>
  <c r="L43" i="8" s="1"/>
  <c r="M43" i="8" s="1"/>
  <c r="K44" i="8"/>
  <c r="L44" i="8" s="1"/>
  <c r="M44" i="8" s="1"/>
  <c r="K45" i="8"/>
  <c r="L45" i="8" s="1"/>
  <c r="M45" i="8" s="1"/>
  <c r="K46" i="8"/>
  <c r="L46" i="8" s="1"/>
  <c r="K47" i="8"/>
  <c r="L47" i="8" s="1"/>
  <c r="M47" i="8" s="1"/>
  <c r="K48" i="8"/>
  <c r="L48" i="8" s="1"/>
  <c r="M48" i="8" s="1"/>
  <c r="K49" i="8"/>
  <c r="L49" i="8" s="1"/>
  <c r="M49" i="8" s="1"/>
  <c r="K50" i="8"/>
  <c r="L50" i="8" s="1"/>
  <c r="K51" i="8"/>
  <c r="L51" i="8" s="1"/>
  <c r="M51" i="8" s="1"/>
  <c r="K52" i="8"/>
  <c r="L52" i="8" s="1"/>
  <c r="M52" i="8" s="1"/>
  <c r="K53" i="8"/>
  <c r="L53" i="8" s="1"/>
  <c r="M53" i="8" s="1"/>
  <c r="K54" i="8"/>
  <c r="L54" i="8" s="1"/>
  <c r="K55" i="8"/>
  <c r="L55" i="8" s="1"/>
  <c r="M55" i="8" s="1"/>
  <c r="K56" i="8"/>
  <c r="L56" i="8" s="1"/>
  <c r="M56" i="8" s="1"/>
  <c r="K57" i="8"/>
  <c r="L57" i="8" s="1"/>
  <c r="M57" i="8" s="1"/>
  <c r="K58" i="8"/>
  <c r="L58" i="8" s="1"/>
  <c r="K59" i="8"/>
  <c r="L59" i="8" s="1"/>
  <c r="M59" i="8" s="1"/>
  <c r="K60" i="8"/>
  <c r="L60" i="8" s="1"/>
  <c r="M60" i="8" s="1"/>
  <c r="K61" i="8"/>
  <c r="L61" i="8" s="1"/>
  <c r="M61" i="8" s="1"/>
  <c r="K62" i="8"/>
  <c r="L62" i="8" s="1"/>
  <c r="K63" i="8"/>
  <c r="L63" i="8" s="1"/>
  <c r="M63" i="8" s="1"/>
  <c r="K64" i="8"/>
  <c r="L64" i="8" s="1"/>
  <c r="M64" i="8" s="1"/>
  <c r="K65" i="8"/>
  <c r="L65" i="8" s="1"/>
  <c r="M65" i="8" s="1"/>
  <c r="K66" i="8"/>
  <c r="L66" i="8" s="1"/>
  <c r="K67" i="8"/>
  <c r="L67" i="8" s="1"/>
  <c r="M67" i="8" s="1"/>
  <c r="K68" i="8"/>
  <c r="L68" i="8" s="1"/>
  <c r="M68" i="8" s="1"/>
  <c r="K69" i="8"/>
  <c r="L69" i="8" s="1"/>
  <c r="M69" i="8" s="1"/>
  <c r="K70" i="8"/>
  <c r="L70" i="8" s="1"/>
  <c r="K71" i="8"/>
  <c r="L71" i="8" s="1"/>
  <c r="M71" i="8" s="1"/>
  <c r="K72" i="8"/>
  <c r="L72" i="8" s="1"/>
  <c r="M72" i="8" s="1"/>
  <c r="K73" i="8"/>
  <c r="L73" i="8" s="1"/>
  <c r="M73" i="8" s="1"/>
  <c r="K74" i="8"/>
  <c r="L74" i="8" s="1"/>
  <c r="K75" i="8"/>
  <c r="L75" i="8" s="1"/>
  <c r="M75" i="8" s="1"/>
  <c r="K76" i="8"/>
  <c r="L76" i="8" s="1"/>
  <c r="M76" i="8" s="1"/>
  <c r="K77" i="8"/>
  <c r="L77" i="8" s="1"/>
  <c r="M77" i="8" s="1"/>
  <c r="K78" i="8"/>
  <c r="L78" i="8" s="1"/>
  <c r="K79" i="8"/>
  <c r="L79" i="8" s="1"/>
  <c r="M79" i="8" s="1"/>
  <c r="K80" i="8"/>
  <c r="L80" i="8" s="1"/>
  <c r="M80" i="8" s="1"/>
  <c r="K81" i="8"/>
  <c r="L81" i="8" s="1"/>
  <c r="M81" i="8" s="1"/>
  <c r="K82" i="8"/>
  <c r="L82" i="8" s="1"/>
  <c r="K83" i="8"/>
  <c r="L83" i="8" s="1"/>
  <c r="M83" i="8" s="1"/>
  <c r="K84" i="8"/>
  <c r="L84" i="8" s="1"/>
  <c r="M84" i="8" s="1"/>
  <c r="K85" i="8"/>
  <c r="L85" i="8" s="1"/>
  <c r="M85" i="8" s="1"/>
  <c r="K86" i="8"/>
  <c r="L86" i="8" s="1"/>
  <c r="K87" i="8"/>
  <c r="L87" i="8" s="1"/>
  <c r="M87" i="8" s="1"/>
  <c r="K88" i="8"/>
  <c r="L88" i="8" s="1"/>
  <c r="M88" i="8" s="1"/>
  <c r="K90" i="8"/>
  <c r="L90" i="8" s="1"/>
  <c r="M90" i="8" s="1"/>
  <c r="K91" i="8"/>
  <c r="L91" i="8" s="1"/>
  <c r="M91" i="8" s="1"/>
  <c r="K92" i="8"/>
  <c r="L92" i="8" s="1"/>
  <c r="M92" i="8" s="1"/>
  <c r="K93" i="8"/>
  <c r="L93" i="8" s="1"/>
  <c r="M93" i="8" s="1"/>
  <c r="K94" i="8"/>
  <c r="L94" i="8" s="1"/>
  <c r="M94" i="8" s="1"/>
  <c r="K95" i="8"/>
  <c r="L95" i="8" s="1"/>
  <c r="M95" i="8" s="1"/>
  <c r="K97" i="8"/>
  <c r="L97" i="8" s="1"/>
  <c r="M97" i="8" s="1"/>
  <c r="K98" i="8"/>
  <c r="L98" i="8" s="1"/>
  <c r="M98" i="8" s="1"/>
  <c r="K99" i="8"/>
  <c r="L99" i="8" s="1"/>
  <c r="M99" i="8" s="1"/>
  <c r="K100" i="8"/>
  <c r="L100" i="8" s="1"/>
  <c r="M100" i="8" s="1"/>
  <c r="K101" i="8"/>
  <c r="L101" i="8" s="1"/>
  <c r="M101" i="8" s="1"/>
  <c r="K102" i="8"/>
  <c r="L102" i="8" s="1"/>
  <c r="M102" i="8" s="1"/>
  <c r="K103" i="8"/>
  <c r="L103" i="8" s="1"/>
  <c r="M103" i="8" s="1"/>
  <c r="K104" i="8"/>
  <c r="L104" i="8" s="1"/>
  <c r="M104" i="8" s="1"/>
  <c r="K105" i="8"/>
  <c r="L105" i="8" s="1"/>
  <c r="M105" i="8" s="1"/>
  <c r="K106" i="8"/>
  <c r="L106" i="8" s="1"/>
  <c r="M106" i="8" s="1"/>
  <c r="K107" i="8"/>
  <c r="L107" i="8" s="1"/>
  <c r="M107" i="8" s="1"/>
  <c r="K108" i="8"/>
  <c r="L108" i="8" s="1"/>
  <c r="M108" i="8" s="1"/>
  <c r="K109" i="8"/>
  <c r="L109" i="8" s="1"/>
  <c r="M109" i="8" s="1"/>
  <c r="K110" i="8"/>
  <c r="L110" i="8" s="1"/>
  <c r="M110" i="8" s="1"/>
  <c r="K112" i="8"/>
  <c r="L112" i="8" s="1"/>
  <c r="M112" i="8" s="1"/>
  <c r="K113" i="8"/>
  <c r="L113" i="8" s="1"/>
  <c r="M113" i="8" s="1"/>
  <c r="K114" i="8"/>
  <c r="L114" i="8" s="1"/>
  <c r="M114" i="8" s="1"/>
  <c r="K115" i="8"/>
  <c r="L115" i="8" s="1"/>
  <c r="M115" i="8" s="1"/>
  <c r="K116" i="8"/>
  <c r="L116" i="8" s="1"/>
  <c r="M116" i="8" s="1"/>
  <c r="K117" i="8"/>
  <c r="L117" i="8" s="1"/>
  <c r="M117" i="8" s="1"/>
  <c r="K118" i="8"/>
  <c r="L118" i="8" s="1"/>
  <c r="M118" i="8" s="1"/>
  <c r="K119" i="8"/>
  <c r="L119" i="8" s="1"/>
  <c r="M119" i="8" s="1"/>
  <c r="K120" i="8"/>
  <c r="L120" i="8" s="1"/>
  <c r="M120" i="8" s="1"/>
  <c r="K121" i="8"/>
  <c r="L121" i="8" s="1"/>
  <c r="M121" i="8" s="1"/>
  <c r="K2" i="8"/>
  <c r="L2" i="8" s="1"/>
  <c r="M2" i="8" s="1"/>
</calcChain>
</file>

<file path=xl/sharedStrings.xml><?xml version="1.0" encoding="utf-8"?>
<sst xmlns="http://schemas.openxmlformats.org/spreadsheetml/2006/main" count="659" uniqueCount="371">
  <si>
    <t>Date</t>
  </si>
  <si>
    <t>Location (include Street Type: St, Ave, Blvd, etc)</t>
  </si>
  <si>
    <t>Summary/Narrative</t>
  </si>
  <si>
    <t>ETA Provided by AV Company in Minutes</t>
  </si>
  <si>
    <t>Number of AVs Involved</t>
  </si>
  <si>
    <t>Other Parties Involved (ex. Passengers)</t>
  </si>
  <si>
    <t>Emergency Responder Impact</t>
  </si>
  <si>
    <t>Transit Impact</t>
  </si>
  <si>
    <t>Time Event Started</t>
  </si>
  <si>
    <t>Time Event Cleared</t>
  </si>
  <si>
    <t>MARIN ST/BAYSHORE BL, SF</t>
  </si>
  <si>
    <t>Waymo stranded at median/intersection at CC..needs PD to direct traffic wile waiting to staff for staff to arrive to manually drive AV away. Steven Woo is roadside asst who is stndng by in bright vest..</t>
  </si>
  <si>
    <t>Y</t>
  </si>
  <si>
    <t>9TH ST/HOWARD ST, SF</t>
  </si>
  <si>
    <t>Zoox blkng lane of traffic where poss shots heard coming from a building and PD actively investigating..another call AV disabled far right lane blkng traffic prior to Howard St called  Zoox at 4155009354</t>
  </si>
  <si>
    <t>FRANKLIN ST/MCALLISTER ST, SF</t>
  </si>
  <si>
    <t>In #3 lane Waymo w/hazards on not moving and blocking traffic..unk LP..Waymo ntfyd.. AV moved</t>
  </si>
  <si>
    <t>PACIFIC AV/MONTGOMERY ST, SF</t>
  </si>
  <si>
    <t>Traffic hazard due to a veh accident..need PD for traffic control..tow truck en route no eta..PD resp..Waymo able to move AV..no need for PD</t>
  </si>
  <si>
    <t>MARKET ST/CASTRO ST, SF</t>
  </si>
  <si>
    <t>Just above Castro on Market facing downtown Waymo AV is stuck has hazards on causing AV to go around Unk LP Rp drove by by</t>
  </si>
  <si>
    <t>PIER 35, SF</t>
  </si>
  <si>
    <t>Waymo blkng NB direction rt lane of traffic Waymo is aware. Roadside is en route. This is caused from a passenger leaving the door open so the AV cant move</t>
  </si>
  <si>
    <t>FREDERICK ST/STANYAN ST, SF</t>
  </si>
  <si>
    <t>Disabled  veh in the intersection, req PD to respond, lots of traffic, Wht Jag LP 05551Z3..Waymo techs are  en route 25 min  eta..another call reporting veh on Frederick facing SB Hazards on</t>
  </si>
  <si>
    <t>767 HAIGHT ST, SF</t>
  </si>
  <si>
    <t>12TH AV/IRVING ST, SF</t>
  </si>
  <si>
    <t>Waymo AV blocking but Waymo employee arrvng OS to han while on LL w/RP. No  asst needed</t>
  </si>
  <si>
    <t>16TH ST/MISSION ST, SF</t>
  </si>
  <si>
    <t>Waymo creating traffic congestion on viewed by PD</t>
  </si>
  <si>
    <t>SAN JOSE AV/HIGHLAND AV, SF</t>
  </si>
  <si>
    <t>San Jose closest to SB Highland Av..Waymo AV stalled in traffic due to over heated battery, req PD to assist with traffic while they try to get a tow..it will be SB San Jose after Randall St under Highland overpass on the far right..Wht Jag Ipace LP 24261Y3..PD resp..flares set up Waymo  tow eta 15 - 20 min</t>
  </si>
  <si>
    <t>NATOMA ST/7TH ST, SF</t>
  </si>
  <si>
    <t>Waymo blocking one way road..Whi Jag Unk LP ..Waymo Ntfyd Advd will move in 5 mins resp Marcel</t>
  </si>
  <si>
    <t>18TH ST/PENNSYLVANIA AV, SF</t>
  </si>
  <si>
    <t>Waymo AV disabled and blkng traffic Wht Jag Ipace Lp 01239Z3 Raodside is on scene</t>
  </si>
  <si>
    <t>7TH ST/BRYANT ST, SF</t>
  </si>
  <si>
    <t>RP reporting an unoccpyd Zoox AV driving erratically, had its left turn signal on but kept turning right and zooming around corners..Partial LP 69..LS NB 7th twds Bryant</t>
  </si>
  <si>
    <t>UNION ST/COLUMBUS AV, SF</t>
  </si>
  <si>
    <t>Waymo stuck in intersection impeding traffic..unoccupied..LP 84445W3 Waymo ntfyd..agent is working  to get roadside asst team..eta 14 min eta..multiple calls..Waymo was able to move AV.. No need for PD resp.</t>
  </si>
  <si>
    <t>EXIT 429C - 101NB PAUL AV, SF</t>
  </si>
  <si>
    <t>Unoccupyd Wht Jag AV is stalled on the street right off of Bayshore off ramp..Tow is en route eta 40 min..called Waymo back for status..Waymo could not provide update because we did not have the LP.  Waymo advd no need for service any longer</t>
  </si>
  <si>
    <t>335 MELROSE AV, SF</t>
  </si>
  <si>
    <t>ifo disabled Waymo blocking road completely wht Waymo 76957Y3 RP has already contacted Waymo  Waymo service team arrived and handled call cancelled</t>
  </si>
  <si>
    <t>7TH AV/LAWTON ST, SF</t>
  </si>
  <si>
    <t>Waymo was blkng  medics way</t>
  </si>
  <si>
    <t>WASHINGTON ST/DAVIS ST, SF</t>
  </si>
  <si>
    <t>East of intersection Waymo AV 6673884..per Waymo AV is moving</t>
  </si>
  <si>
    <t>2831 CESAR CHAVEZ ST, SF</t>
  </si>
  <si>
    <t>Near intersection ofCC/Hampshire..Waymo AV is experiencing a flat and stuck in gore area of roadway..Whi Jag LP 80825A4 engineer is 97 but will not approach AV due to gore ara and traffic req PD to assist w/traffic..Waymo cancelled managed to move AV  out of the way on their own</t>
  </si>
  <si>
    <t>16TH ST/DOLORES ST, SF</t>
  </si>
  <si>
    <t>Waymo LP 05381B4 sensors are damaged and in the middle of the intersection roadside assistance has an eta 15 minutes</t>
  </si>
  <si>
    <t>151 3RD ST, SF</t>
  </si>
  <si>
    <t>Waymo malfunctioning in right lane</t>
  </si>
  <si>
    <t>210 VAN NESS AV, SF</t>
  </si>
  <si>
    <t>Waymo blkng Muni lane for five mins while on LL PD came and AV moved</t>
  </si>
  <si>
    <t>CONGDON ST/ALEMANY BL, SF</t>
  </si>
  <si>
    <t>Waymo AV disablled at the intersection..no employees on scene yet they are 12 mins away..LP 83526F3..cancel tow arrived</t>
  </si>
  <si>
    <t>BRANNAN ST/4TH ST, SF</t>
  </si>
  <si>
    <t>On Brannan Waymo stalled and blocking traffic Wht Waumo unk LP..no driver unk if pssngrs..Waymo said no Avs iao Brannan/7th</t>
  </si>
  <si>
    <t>PINE ST/STOCKTON ST, SF</t>
  </si>
  <si>
    <t xml:space="preserve">Waymo blkng traffic code on AV is waiting for passngr to get off but AV is unoccupied ntfyng Waymo Per Waymo door left open preventing AV from leaving  they need road asst to close the door unless PD can get there sooner.. PD responded and AV is GOA </t>
  </si>
  <si>
    <t>Notes from Alex Demish (5/12/2023)</t>
  </si>
  <si>
    <t>And I also made a few revisions I’m describing below, including making some dropdowns, that hopefully make this easier. 
•	Date – No change
•	CAD Number – No change
•	Time Reported/Time Called Received – Allowed time HH:MM only
•	Location – No change
•	Summary/Narrative – No change
•	AV Company Involved – Created a dropdown with potential values, which includes Waymo, Cruise, Zoox, and all the possible combinations of the three
•	Was AV Company Called/Notified – Created a dropdown for Y, N or Unknown.
•	ETA Provided by AV Company in Minutes – Allowed numbers only
•	AV Company Response Notes – No change.  We’re hoping this can include the response from the AV company, e.g., retrieval vehicle dispatched, 5 minute ETA.
•	Number of AVs involved – Allowed numbers only
•	Driverless Operations – Created a dropdown for Y, N, or Unknown
•	Parties Involved – No change
•	License Plate – No change
•	Emergency Responder/Transit/Construction Impact – Broke this out into three columns:
       o	Emergency Responder Impact – Dropdown for Y or N
       o	Transit Impact – Dropdown for Y or N
       o	Construction Impact – Dropdown for Y or N
•	Apparent Incident Duration – Added two columns:
       o	Time Event Started
       o	Time Event Cleared
If this information exists in the report, then we can calculate the duration ourselves.  I’m not sure if durations themselves are sometimes reported - for example, do the reports sometimes say something like  “this AV blocked the intersection for 13 minutes”?
•	Street Position – Renamed to “Occurred in Intersection?” with dropdown for Y, N, or Unknown</t>
  </si>
  <si>
    <t>15:27</t>
  </si>
  <si>
    <t>15:55</t>
  </si>
  <si>
    <t>7:29</t>
  </si>
  <si>
    <t>7:32</t>
  </si>
  <si>
    <t>15:05</t>
  </si>
  <si>
    <t>15:12</t>
  </si>
  <si>
    <t>14:18</t>
  </si>
  <si>
    <t>14:32</t>
  </si>
  <si>
    <t>17:18</t>
  </si>
  <si>
    <t>14:57</t>
  </si>
  <si>
    <t>19:03</t>
  </si>
  <si>
    <t>19:17</t>
  </si>
  <si>
    <t>19:27</t>
  </si>
  <si>
    <t>22:58</t>
  </si>
  <si>
    <t>20:16</t>
  </si>
  <si>
    <t>22:04</t>
  </si>
  <si>
    <t>20:35</t>
  </si>
  <si>
    <t>21:35</t>
  </si>
  <si>
    <t>1:19</t>
  </si>
  <si>
    <t>1:38</t>
  </si>
  <si>
    <t>12:46</t>
  </si>
  <si>
    <t>12:55</t>
  </si>
  <si>
    <t>11:58</t>
  </si>
  <si>
    <t>13:20</t>
  </si>
  <si>
    <t>20:40</t>
  </si>
  <si>
    <t>22:45</t>
  </si>
  <si>
    <t>1:36</t>
  </si>
  <si>
    <t>2:21</t>
  </si>
  <si>
    <t>18:51</t>
  </si>
  <si>
    <t>20:46</t>
  </si>
  <si>
    <t>17:07</t>
  </si>
  <si>
    <t>17:15</t>
  </si>
  <si>
    <t>22:44</t>
  </si>
  <si>
    <t>23:29</t>
  </si>
  <si>
    <t>ELLIS ST/MASON ST, SF</t>
  </si>
  <si>
    <t>JACKSON ST/KEARNY ST, SF</t>
  </si>
  <si>
    <t>STANYAN ST/FELL ST, SF</t>
  </si>
  <si>
    <t>PRESIDIO BL/LIGGETT AV, PR</t>
  </si>
  <si>
    <t>LINCOLN WY/19TH AV, SF</t>
  </si>
  <si>
    <t>BAYSHORE BL/INDUSTRIAL ST,</t>
  </si>
  <si>
    <t>POWELL ST/BROADWAY, SF</t>
  </si>
  <si>
    <t>BATTERY ST/PACIFIC AV, SF</t>
  </si>
  <si>
    <t>2115 JONES ST, SF</t>
  </si>
  <si>
    <t>301 MAIN ST, SF</t>
  </si>
  <si>
    <t>HARRISON ST/1ST ST, SF</t>
  </si>
  <si>
    <t>FRONT ST/PINE ST, SF</t>
  </si>
  <si>
    <t>BRYANT ST/4TH ST, SF</t>
  </si>
  <si>
    <t>650 EDDY ST, SF</t>
  </si>
  <si>
    <t>DRUMM ST/MARKET ST, SF</t>
  </si>
  <si>
    <t>2ND ST/MINNA ST, SF</t>
  </si>
  <si>
    <t>10TH ST/FOLSOM ST, SF</t>
  </si>
  <si>
    <t>I 280SB SAN JOSE ON</t>
  </si>
  <si>
    <t>Req from CHP to have SFPD resp to assist with removing disabled Waymo AV that is completely blocking the ramp. PD responded and moved the AV out of the way and driven back to city streets</t>
  </si>
  <si>
    <t>1836 BAKER ST, SF</t>
  </si>
  <si>
    <t>VAN NESS/TURK ST, SF</t>
  </si>
  <si>
    <t>Waymo stopped in lane of traffic NB on Van Nes.. LP 2563A4//Bad LP#</t>
  </si>
  <si>
    <t>300 EDDY ST, SF</t>
  </si>
  <si>
    <t>PD on scene first for report of unconcious male..medic requested and had to respond from east or west bound on eddy SB Jones due to traffic blocked by Waymo AV//M566 Ack Waymo AV moved</t>
  </si>
  <si>
    <t>1495 GEARY BL, SF</t>
  </si>
  <si>
    <t>3617 20TH ST, SF</t>
  </si>
  <si>
    <t>DRUMM ST/WASHINGTON ST, SF</t>
  </si>
  <si>
    <t>HOWARD ST/5TH ST, SF</t>
  </si>
  <si>
    <t>DIAMOND ST/MARKET ST, SF</t>
  </si>
  <si>
    <t>MARKET ST/BUCHANAN ST, SF</t>
  </si>
  <si>
    <t xml:space="preserve">EXIT 439 NB - LAST SF EXIT - VIEW AREA, </t>
  </si>
  <si>
    <t>3300 SACRAMENTO ST, SF</t>
  </si>
  <si>
    <t>FELL ST/VAN NESS AV, SF</t>
  </si>
  <si>
    <t>19TH ST/DOLORES ST, SF</t>
  </si>
  <si>
    <t>MISSION ST/PRECITA AV, SF</t>
  </si>
  <si>
    <t>HENRY ST/NOE ST, SF</t>
  </si>
  <si>
    <t>518 VIDAL DR, SF</t>
  </si>
  <si>
    <t>JONES ST/CLAY ST, SF</t>
  </si>
  <si>
    <t>3RD AV/GEARY BL, SF</t>
  </si>
  <si>
    <t>21ST ST/FLORIDA ST, SF</t>
  </si>
  <si>
    <t>644 POLK ST, SF</t>
  </si>
  <si>
    <t>COLE ST/GROVE ST, SF</t>
  </si>
  <si>
    <t>557 VALENCIA ST, SF</t>
  </si>
  <si>
    <t>HARRISON ST/11TH ST, SF</t>
  </si>
  <si>
    <t>2076 HAYES ST, SF</t>
  </si>
  <si>
    <t>DIVISADERO ST/BUSH ST, SF</t>
  </si>
  <si>
    <t>1 MCCOPPIN ST, SF</t>
  </si>
  <si>
    <t>STONESTOWN GALLERIA, SF</t>
  </si>
  <si>
    <t xml:space="preserve">22:46 On Folsom..Waymo AV stopped in the middle of </t>
  </si>
  <si>
    <t xml:space="preserve">Waymo AV stopped in lane of traffic for several mins      </t>
  </si>
  <si>
    <t>Waymo AV in lane of traffic not moving for three traffic</t>
  </si>
  <si>
    <t xml:space="preserve">Stopped Waymo AV LP 76264V3 Blkng all the bike lane </t>
  </si>
  <si>
    <t xml:space="preserve">ON Ellis in crosswalk for past 5 mins Waymo stuck not    </t>
  </si>
  <si>
    <t xml:space="preserve">All of the stop lights are out at intersection..mult vehs    </t>
  </si>
  <si>
    <t xml:space="preserve">311 tx 2 Waymo trying to make a right onto 19th ave      </t>
  </si>
  <si>
    <t xml:space="preserve">On Powell btw Broadway/Pacific completely disabled     </t>
  </si>
  <si>
    <t xml:space="preserve">On Jones btw Filbert and Greenwich..Waymo stopped    </t>
  </si>
  <si>
    <t xml:space="preserve">4 Waymo AV are trying to enter the parking lot at this    </t>
  </si>
  <si>
    <t xml:space="preserve">01:16 Passenger asleep in the back seat Waymo reqs     </t>
  </si>
  <si>
    <t xml:space="preserve">CHP TX 5 Waymos causing a traffic jam..they have            </t>
  </si>
  <si>
    <t xml:space="preserve">Waymo disabled in the intersection AV # PCP38152A      </t>
  </si>
  <si>
    <t xml:space="preserve">Traffic lights are out..hazard for Muni trains..DPT trying </t>
  </si>
  <si>
    <t xml:space="preserve">Subj inside of a Waymo rtl..AV stationary LP 76962Y3    </t>
  </si>
  <si>
    <t xml:space="preserve">Passing Muni hit the door of Waymo AV now stuck  and </t>
  </si>
  <si>
    <t xml:space="preserve">Rp in veh for past 20 mins multi vehs stuck behind         </t>
  </si>
  <si>
    <t>MASONIC  AV/GEARY BL,</t>
  </si>
  <si>
    <t>EVANS  AV/SELBY ST,</t>
  </si>
  <si>
    <t>100  MONTGOMERY ST,</t>
  </si>
  <si>
    <t>1540  NEWHALL ST,</t>
  </si>
  <si>
    <t>CLIPPER  ST/CHURCH ST,</t>
  </si>
  <si>
    <t>BROADWAY  TUNNEL EB,</t>
  </si>
  <si>
    <t>1117  FILLMORE ST,</t>
  </si>
  <si>
    <t>301  BRANNAN ST,</t>
  </si>
  <si>
    <t>2054  36TH AV,</t>
  </si>
  <si>
    <t>1300  SELBY ST,</t>
  </si>
  <si>
    <t>MISSION  ST/4TH ST,</t>
  </si>
  <si>
    <t>PACIFIC  AV/SANSOME ST,</t>
  </si>
  <si>
    <t>CASTRO  ST/18TH ST,</t>
  </si>
  <si>
    <t>ADMIRAL  AV/MISSION ST,</t>
  </si>
  <si>
    <t>24TH  ST/UTAH ST,</t>
  </si>
  <si>
    <t>17TH  ST/VALENCIA ST,</t>
  </si>
  <si>
    <t>WARRIORS  WY/3RD ST,</t>
  </si>
  <si>
    <t>34TH  AV/LINCOLN WY,</t>
  </si>
  <si>
    <t>Waymo AV stalled in the intersection ifo Trader Joes in</t>
  </si>
  <si>
    <t>Waymo blkng wb traffic..AV moved to the side of the</t>
  </si>
  <si>
    <t>Waymo advd to adhere to GEO fence due to 1st</t>
  </si>
  <si>
    <t>Waymo AV having tech difficulties and stopped at this</t>
  </si>
  <si>
    <t>Waymo AV stuck in the middle of intersection blocking</t>
  </si>
  <si>
    <t>2 passengers in the Waymo AV stuck unable to</t>
  </si>
  <si>
    <t>Muni vs Waymo non inj accident Muni insp and</t>
  </si>
  <si>
    <t>Waymo stalled blkng traffic in middle lane eb on</t>
  </si>
  <si>
    <t>Rider asleep in the back of Waymo..reqs PD wake up</t>
  </si>
  <si>
    <t>Ron at Waymo got an alert of an unconcious rider in</t>
  </si>
  <si>
    <t>Text to 911..Rp inside of Waymo AV Wht Jaguar LP</t>
  </si>
  <si>
    <t>5 Waymo Av's blocking traffic..AV's are facing EB</t>
  </si>
  <si>
    <t>Rp driving by and saw an unoccupied Waymo stuck in</t>
  </si>
  <si>
    <t>Admiral betwn Mission and Alemany facing SB twd</t>
  </si>
  <si>
    <t>Call from Waymo report of they have been trying</t>
  </si>
  <si>
    <t>Waymo holding up traffic..on cb to Waymo advd they</t>
  </si>
  <si>
    <t>Traffic signals malfunctioning and Waymos are</t>
  </si>
  <si>
    <t>Traffic signals malfunctioningon 34th not allowing cars</t>
  </si>
  <si>
    <t>y</t>
  </si>
  <si>
    <t>PACIFIC AV/GRANT AV,</t>
  </si>
  <si>
    <t>DIAMOND ST/BOSWORTH ST,</t>
  </si>
  <si>
    <t>FELL/VAN NESS AV,</t>
  </si>
  <si>
    <t>183 PAGE ST,</t>
  </si>
  <si>
    <t>PARK LIBRARY, SF</t>
  </si>
  <si>
    <t>9TH ST/HOWARD ST,</t>
  </si>
  <si>
    <t>FOLSOM ST/22ND ST,</t>
  </si>
  <si>
    <t>11TH AV/LAKE ST,</t>
  </si>
  <si>
    <t>GREEN ST/POWELL ST,</t>
  </si>
  <si>
    <t>SAN JOSE AV/ALEMANY</t>
  </si>
  <si>
    <t>19TH AV/LINCOLN WY,</t>
  </si>
  <si>
    <t>GRANT / GREEN</t>
  </si>
  <si>
    <t>DEM, SF Rep</t>
  </si>
  <si>
    <t>HARRISON ST/THE EMBARCADERO</t>
  </si>
  <si>
    <t>2732 24TH ST,</t>
  </si>
  <si>
    <t>BATTERY ST/CALIFORNIA ST,</t>
  </si>
  <si>
    <t>MINNA ST/6TH ST,</t>
  </si>
  <si>
    <t>1480 BROADWAY, SF</t>
  </si>
  <si>
    <t>POWELL ST/CALIFORNIA ST,</t>
  </si>
  <si>
    <t>61 RONDEL PL,</t>
  </si>
  <si>
    <t>3RD ST/MISSION ROCK</t>
  </si>
  <si>
    <t>STOCKTON TUNNEL, SF</t>
  </si>
  <si>
    <t>BUSH ST/BATTERY ST,</t>
  </si>
  <si>
    <t>WASHINGTON ST/KEARNY ST,</t>
  </si>
  <si>
    <t>3 Waymos stuck and blkng traffic on Pacific bet</t>
  </si>
  <si>
    <t>Per SFPD all traffic signals are Red..Signal Repair ntfyd.</t>
  </si>
  <si>
    <t>Waymo stuck behind an occupyd stationary veh for</t>
  </si>
  <si>
    <t>Waymo blkng handicap ramp..Waymo ntfyd and advid</t>
  </si>
  <si>
    <t>Waymo AV reportedly blkng handicapped ramp in the</t>
  </si>
  <si>
    <t>4 ago Waymo made right turn on 9th no signal an</t>
  </si>
  <si>
    <t>Waymo AV blkng traffic LP 53515F3..Waymo advd and</t>
  </si>
  <si>
    <t>Waymo stuck in cul de sac for past 30 mins LP</t>
  </si>
  <si>
    <t>AV stalled at intersection..Wht Jaguar LP 98051Y3</t>
  </si>
  <si>
    <t>Waymo temporarily disabled in the intersection before</t>
  </si>
  <si>
    <t>Waymo AV stalled NB 19th left lane at the stop</t>
  </si>
  <si>
    <t>Per PD 3 Waymo AV's stuck ..3A110 called Waymo and</t>
  </si>
  <si>
    <t xml:space="preserve">Rep of Waymo AV changed lanes mid intersection, by a </t>
  </si>
  <si>
    <t>Waymo AV went through the stop light and moved into</t>
  </si>
  <si>
    <t>Waymo AV blkng all lanes for more than 10 mins</t>
  </si>
  <si>
    <t>Waymo AV appeared to be stuck, no hazards on, blkng</t>
  </si>
  <si>
    <t>Waymo AV stuck at a red light to turn SB..blkng traffic</t>
  </si>
  <si>
    <t>AV stalled in rt lane blkng traffic..Wht jag I pace LP</t>
  </si>
  <si>
    <t>Waymo AV on Powell btwn California/Hyde whie</t>
  </si>
  <si>
    <t>3 Waymo AV stuck for over half a hour in the alley</t>
  </si>
  <si>
    <t>Stuck Waymo AV at intersection</t>
  </si>
  <si>
    <t>Btwn California/Pine Waymo AV stuck in Stockton</t>
  </si>
  <si>
    <t>Waymo blkng intersection..Wht Jaguar LP</t>
  </si>
  <si>
    <t>Wamo AV stalled for a while..Lights are visibl LP</t>
  </si>
  <si>
    <t>Eddy/Taylor</t>
  </si>
  <si>
    <t>Bush/Montgomery</t>
  </si>
  <si>
    <t>Geary/Fillmore</t>
  </si>
  <si>
    <t>Haight/Scott</t>
  </si>
  <si>
    <t>Palou/Selby</t>
  </si>
  <si>
    <t>Tompkins/Folsom</t>
  </si>
  <si>
    <t xml:space="preserve">Powell/Geary </t>
  </si>
  <si>
    <t>Onviewed by PD. WAYMO blocking Cable Car. Police were able to move vehicle out of the way and get it</t>
  </si>
  <si>
    <t>123 O'Farrell St</t>
  </si>
  <si>
    <t>Park Presidio/Fulton</t>
  </si>
  <si>
    <t>Chain of Lakes/John F Kennedy Dr</t>
  </si>
  <si>
    <t>4th/Channel St</t>
  </si>
  <si>
    <t>There was a fire inside a parking garage on O'Farrell and 2 WAYMO's were stuck on O'Farrell. No resolution</t>
  </si>
  <si>
    <t>WAYMO double parked and 31 line could not pass by.  By the time PD went out, UTL.</t>
  </si>
  <si>
    <t>WAYMO vs. Motorcycle vehicle accident. No reported injuries</t>
  </si>
  <si>
    <t>There was a protest frm 447 Sutter and during the route and 3 WAYMO's were blocking the intersection</t>
  </si>
  <si>
    <t>WAYMO blocking traffic. Onviewed by a PD unit. Bus lines needed to navigate around. Vehicle eventually</t>
  </si>
  <si>
    <t>Someone put something on the sensor of a WAYMO and vehicle could not move. PD went out and removed</t>
  </si>
  <si>
    <t>Tow truck was on scene towing another vehicle. A WAYMO pulled up behind it and blocked tow truck.</t>
  </si>
  <si>
    <t>WAYMO blocking traffic. A WAYMO tech was able to move it out of the way remotely.</t>
  </si>
  <si>
    <t>WAYMO vehicle blocking traffic and MUNI unable to pass. Spoke to WAYMO tech and WAYMO tech said bus</t>
  </si>
  <si>
    <t>WAYMO blocking MUNI track. WAYMO tech en route</t>
  </si>
  <si>
    <t>3 passengers</t>
  </si>
  <si>
    <t>Rider in backseat Whi Jag laying down asleep, RP cant rouse him through the speaker, req PD to check and escort out of the veh..00:47 PD resp 00:53 on Scene and AV and Subj were gone.</t>
  </si>
  <si>
    <t>1 Franklin St,</t>
  </si>
  <si>
    <t>90 Terra Vista</t>
  </si>
  <si>
    <t>417 Laguna Working</t>
  </si>
  <si>
    <t>783 MISSION ST,</t>
  </si>
  <si>
    <t>PALACE HOTEL, SF</t>
  </si>
  <si>
    <t>78 ANNIE ST,</t>
  </si>
  <si>
    <t>SUTTER ST/STOCKTON ST,</t>
  </si>
  <si>
    <t>1 101NB BAYSHORE</t>
  </si>
  <si>
    <t>TURK ST/VAN NESS</t>
  </si>
  <si>
    <t>DIVISADERO ST/JACKSON ST,</t>
  </si>
  <si>
    <t>HAYES ST/OCTAVIA ST,</t>
  </si>
  <si>
    <t>FOLSOM ST/CRESCENT AV,</t>
  </si>
  <si>
    <t>16TH ST/BRYANT ST,</t>
  </si>
  <si>
    <t>MARKET ST/CORBETT AV,</t>
  </si>
  <si>
    <t>EVANS AV/RANKIN ST,</t>
  </si>
  <si>
    <t>RANKIN ST/EVANS AV,</t>
  </si>
  <si>
    <t>15TH ST/SHOTWELL ST,</t>
  </si>
  <si>
    <t>662 MISSION BAY</t>
  </si>
  <si>
    <t>HAMPSHIRE ST/CESAR CHAVEZWaymo</t>
  </si>
  <si>
    <t>STEINER ST/DUBOCE AV,</t>
  </si>
  <si>
    <t>9TH ST/HARRISON ST,</t>
  </si>
  <si>
    <t>PIER 38, SF</t>
  </si>
  <si>
    <t>358 MAYNARD ST,</t>
  </si>
  <si>
    <t>14TH ST/MARKET ST,</t>
  </si>
  <si>
    <t>14TH ST/SOUTH VAN</t>
  </si>
  <si>
    <t>FOLSOM ST/1ST ST,</t>
  </si>
  <si>
    <t>GOLDEN GATE AV/MASONIC</t>
  </si>
  <si>
    <t>CASTRO ST/19TH ST,</t>
  </si>
  <si>
    <t>1324 GRANT AV,</t>
  </si>
  <si>
    <t xml:space="preserve">Alabama/21st St </t>
  </si>
  <si>
    <t xml:space="preserve">Duboce/Valencia </t>
  </si>
  <si>
    <t>Waymo stuck and blkng traffic for the last 25 mins Jag</t>
  </si>
  <si>
    <t>Critical Mass Waymo advd to to avoid the area due to</t>
  </si>
  <si>
    <t>AWaymo disabled blkng left NB lane on Masonic just</t>
  </si>
  <si>
    <t>Waymo reqs PD asst to move AV out of the way and</t>
  </si>
  <si>
    <t>311 TX 20+ Waymos all stuck in left lane Poss trying to</t>
  </si>
  <si>
    <t>Waymo blking traffic with flashing lights on and other</t>
  </si>
  <si>
    <t>Waymo AV ifo unoccupyd blocking lane and causing</t>
  </si>
  <si>
    <t>Traffic hazard AV is stranded and stuck in the NB</t>
  </si>
  <si>
    <t>311 tx rep of 2 Waymo AV w/blinkers on and blkng</t>
  </si>
  <si>
    <t>Waymo Rep was ntfyd of Waymo AV unoccupied</t>
  </si>
  <si>
    <t>Waymo AV is stranded on CC blocking traffic ..tow and</t>
  </si>
  <si>
    <t>Waymo hit RP's dog..Emer Vet and Waymo contact</t>
  </si>
  <si>
    <t>At least 100 Waymos lined up on 15th St from Shotwell</t>
  </si>
  <si>
    <t>Waymo is near the railroad track blocking the</t>
  </si>
  <si>
    <t>Waymo stuck in lane impeding traffic traffic..issue at</t>
  </si>
  <si>
    <t>Multi veh inj accident Waymo AV drove into the scen</t>
  </si>
  <si>
    <t>Power outage at this location 3 Waymos and other</t>
  </si>
  <si>
    <t>Two Muni Coaches stuck in traffic per RP it is due to</t>
  </si>
  <si>
    <t>Waymo with hazards on for past 10 mins per SFPD</t>
  </si>
  <si>
    <t>SWaymo vs Muni, unclear if contact was actually</t>
  </si>
  <si>
    <t>Waymo AV drove into the middle of active 518 H/R</t>
  </si>
  <si>
    <t>Waymo stuck on the left shoulder at the top of th</t>
  </si>
  <si>
    <t>Waymo cannot go south on Post on Stockton had a</t>
  </si>
  <si>
    <t>Waymo blking traffic rep on 911 txd to 0123 non-emer</t>
  </si>
  <si>
    <t>911 c/b RP stated Waymo AV blocking the road on</t>
  </si>
  <si>
    <t>Per Waymo AV stalled WB Mission b4 4th st..Wht 2024 Jag LP 92549A4 Waymo called for road service..PD</t>
  </si>
  <si>
    <t>Vehicle accident involving a vehicle on it's side. 6 WAYMO's blocking westbound traffic on Duboce an</t>
  </si>
  <si>
    <t>Working fire with reports of a and trappedin building on 2nd floor. 2 WAYMO vehicles stuck on</t>
  </si>
  <si>
    <t>WAYMO stranded in front of address. Police went outand moved vehicle out of the road</t>
  </si>
  <si>
    <t>20 WAYMOS inside Fort Mason causing a traffichazard. WAYMO notified</t>
  </si>
  <si>
    <t>WAYMO involved in a no injury accident with SFFDmedic.</t>
  </si>
  <si>
    <t>Duration</t>
  </si>
  <si>
    <t>HAMPSHIRE ST/CESAR CHAVEZ</t>
  </si>
  <si>
    <t>Downtown / Tenderloin / Civic Center</t>
  </si>
  <si>
    <t>Financial District / Embarcadero</t>
  </si>
  <si>
    <t>Chinatown / North Beach / Nob Hill</t>
  </si>
  <si>
    <t>SoMa / Mission Bay</t>
  </si>
  <si>
    <t>Mission District</t>
  </si>
  <si>
    <t>Castro / Noe Valley / Bernal Heights</t>
  </si>
  <si>
    <t>Hayes Valley / Haight</t>
  </si>
  <si>
    <t>Richmond / Presidio</t>
  </si>
  <si>
    <t>Sunset</t>
  </si>
  <si>
    <t>Bayview / Hunters Point / Excelsior</t>
  </si>
  <si>
    <t>(Notes: PIER 35 and PIER 38 were mapped to Embarcadero; Palace Hotel to Downtown/Union Square core; Mission Bay addresses and Warriors Way to Zone 4; Bayview industrial corridor locations to Zone 10.)</t>
  </si>
  <si>
    <t>time zone</t>
  </si>
  <si>
    <t>convert time</t>
  </si>
  <si>
    <t>duration convert</t>
  </si>
  <si>
    <t>duration low high</t>
  </si>
  <si>
    <t>multi</t>
  </si>
  <si>
    <t>duration2</t>
  </si>
  <si>
    <t>Month</t>
  </si>
  <si>
    <t>Mar</t>
  </si>
  <si>
    <t>Jun</t>
  </si>
  <si>
    <t>Aug</t>
  </si>
  <si>
    <t>Sep</t>
  </si>
  <si>
    <t>Oct</t>
  </si>
  <si>
    <t>Jul</t>
  </si>
  <si>
    <t xml:space="preserve">Mean </t>
  </si>
  <si>
    <t>Median</t>
  </si>
  <si>
    <t>St Dev</t>
  </si>
  <si>
    <t>comparisons</t>
  </si>
  <si>
    <t>March</t>
  </si>
  <si>
    <t>October</t>
  </si>
  <si>
    <t>Test statistic W : 377</t>
  </si>
  <si>
    <t>p-value : 0.063368</t>
  </si>
  <si>
    <t>Mann Whitney test, also known as Wilcoxon rank sum exact test</t>
  </si>
  <si>
    <t>duration</t>
  </si>
  <si>
    <t>Month 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</si>
</sst>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m/d/yyyy;@"/>
  </numFmts>
  <fonts count="8" x14ac:knownFonts="1">
    <font>
      <sz val="11"/>
      <color theme="1"/>
      <name val="Calibri"/>
      <family val="2"/>
      <scheme val="minor"/>
    </font>
    <font>
      <sz val="10"/>
      <color rgb="FF000000"/>
      <name val="Calibri"/>
      <family val="2"/>
      <scheme val="minor"/>
    </font>
    <font>
      <b/>
      <sz val="10"/>
      <color rgb="FF000000"/>
      <name val="Calibri"/>
      <family val="2"/>
      <scheme val="minor"/>
    </font>
    <font>
      <sz val="11"/>
      <color rgb="FF000000"/>
      <name val="Calibri"/>
      <family val="2"/>
    </font>
    <font>
      <sz val="11"/>
      <color rgb="FF000000"/>
      <name val="Calibri"/>
      <family val="2"/>
      <scheme val="minor"/>
    </font>
    <font>
      <b/>
      <sz val="11"/>
      <color rgb="FF000000"/>
      <name val="Calibri"/>
      <family val="2"/>
      <scheme val="minor"/>
    </font>
    <font>
      <sz val="11"/>
      <color rgb="FF000000"/>
      <name val="Aptos"/>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7">
    <xf numFmtId="0" fontId="0" fillId="0" borderId="0" xfId="0"/>
    <xf numFmtId="0" fontId="1" fillId="0" borderId="0" xfId="0" applyFont="1" applyAlignment="1">
      <alignment wrapText="1"/>
    </xf>
    <xf numFmtId="0" fontId="2" fillId="0" borderId="0" xfId="0" applyFont="1" applyAlignment="1">
      <alignment horizontal="center" wrapText="1"/>
    </xf>
    <xf numFmtId="0" fontId="0" fillId="0" borderId="0" xfId="0" applyAlignment="1">
      <alignment wrapText="1"/>
    </xf>
    <xf numFmtId="20" fontId="1" fillId="0" borderId="0" xfId="0" applyNumberFormat="1" applyFont="1" applyAlignment="1">
      <alignment wrapText="1"/>
    </xf>
    <xf numFmtId="14" fontId="3" fillId="0" borderId="0" xfId="0" applyNumberFormat="1" applyFont="1" applyAlignment="1">
      <alignment horizontal="right" vertical="center"/>
    </xf>
    <xf numFmtId="0" fontId="3" fillId="0" borderId="0" xfId="0" applyFont="1" applyAlignment="1">
      <alignment vertical="center"/>
    </xf>
    <xf numFmtId="14" fontId="4" fillId="0" borderId="0" xfId="0" applyNumberFormat="1" applyFont="1" applyAlignment="1">
      <alignment wrapText="1"/>
    </xf>
    <xf numFmtId="0" fontId="4" fillId="0" borderId="0" xfId="0" applyFont="1" applyAlignment="1">
      <alignment wrapText="1"/>
    </xf>
    <xf numFmtId="20" fontId="4" fillId="0" borderId="0" xfId="0" applyNumberFormat="1" applyFont="1" applyAlignment="1">
      <alignment wrapText="1"/>
    </xf>
    <xf numFmtId="0" fontId="5" fillId="0" borderId="0" xfId="0" applyFont="1" applyAlignment="1">
      <alignment horizontal="center" wrapText="1"/>
    </xf>
    <xf numFmtId="20" fontId="4" fillId="0" borderId="0" xfId="0" applyNumberFormat="1" applyFont="1"/>
    <xf numFmtId="0" fontId="5" fillId="0" borderId="0" xfId="0" applyFont="1" applyAlignment="1">
      <alignment wrapText="1"/>
    </xf>
    <xf numFmtId="0" fontId="1" fillId="0" borderId="0" xfId="0" applyFont="1" applyAlignment="1">
      <alignment horizontal="center" wrapText="1"/>
    </xf>
    <xf numFmtId="0" fontId="4" fillId="0" borderId="0" xfId="0" applyFont="1" applyAlignment="1">
      <alignment horizontal="center" wrapText="1"/>
    </xf>
    <xf numFmtId="0" fontId="6" fillId="0" borderId="0" xfId="0" applyFont="1" applyAlignment="1">
      <alignment wrapText="1"/>
    </xf>
    <xf numFmtId="14" fontId="0" fillId="0" borderId="0" xfId="0" applyNumberFormat="1"/>
    <xf numFmtId="165" fontId="4" fillId="0" borderId="0" xfId="0" applyNumberFormat="1" applyFont="1" applyAlignment="1">
      <alignment wrapText="1"/>
    </xf>
    <xf numFmtId="0" fontId="0" fillId="0" borderId="0" xfId="0" applyAlignment="1">
      <alignment horizontal="center"/>
    </xf>
    <xf numFmtId="0" fontId="4" fillId="0" borderId="0" xfId="0" applyFont="1" applyAlignment="1">
      <alignment horizontal="right" wrapText="1"/>
    </xf>
    <xf numFmtId="20" fontId="0" fillId="0" borderId="0" xfId="0" applyNumberFormat="1"/>
    <xf numFmtId="14" fontId="0" fillId="0" borderId="0" xfId="0" applyNumberFormat="1" applyAlignment="1">
      <alignment wrapText="1"/>
    </xf>
    <xf numFmtId="164" fontId="1" fillId="0" borderId="0" xfId="0" applyNumberFormat="1" applyFont="1" applyAlignment="1">
      <alignment horizontal="right" wrapText="1"/>
    </xf>
    <xf numFmtId="164" fontId="1" fillId="0" borderId="0" xfId="0" applyNumberFormat="1" applyFont="1" applyAlignment="1">
      <alignment wrapText="1"/>
    </xf>
    <xf numFmtId="2" fontId="4" fillId="0" borderId="0" xfId="0" applyNumberFormat="1" applyFont="1" applyAlignment="1">
      <alignment wrapText="1"/>
    </xf>
    <xf numFmtId="2" fontId="2" fillId="0" borderId="0" xfId="0" applyNumberFormat="1" applyFont="1" applyAlignment="1">
      <alignment horizontal="center" wrapText="1"/>
    </xf>
    <xf numFmtId="2" fontId="1" fillId="0" borderId="0" xfId="0" applyNumberFormat="1" applyFont="1" applyAlignment="1">
      <alignment wrapText="1"/>
    </xf>
    <xf numFmtId="164" fontId="4" fillId="0" borderId="0" xfId="0" applyNumberFormat="1" applyFont="1" applyAlignment="1">
      <alignment wrapText="1"/>
    </xf>
    <xf numFmtId="164" fontId="4" fillId="0" borderId="0" xfId="0" applyNumberFormat="1" applyFont="1"/>
    <xf numFmtId="164" fontId="4" fillId="0" borderId="0" xfId="0" applyNumberFormat="1" applyFont="1" applyAlignment="1">
      <alignment horizontal="right" wrapText="1"/>
    </xf>
    <xf numFmtId="164" fontId="0" fillId="0" borderId="0" xfId="0" applyNumberFormat="1"/>
    <xf numFmtId="1" fontId="1" fillId="0" borderId="0" xfId="0" applyNumberFormat="1" applyFont="1" applyAlignment="1">
      <alignment wrapText="1"/>
    </xf>
    <xf numFmtId="2" fontId="1" fillId="0" borderId="0" xfId="0" applyNumberFormat="1" applyFont="1" applyAlignment="1">
      <alignment horizontal="center" wrapText="1"/>
    </xf>
    <xf numFmtId="1" fontId="4" fillId="0" borderId="0" xfId="0" applyNumberFormat="1" applyFont="1" applyAlignment="1">
      <alignment horizontal="center" wrapText="1"/>
    </xf>
    <xf numFmtId="2" fontId="0" fillId="0" borderId="0" xfId="0" applyNumberFormat="1"/>
    <xf numFmtId="2" fontId="5" fillId="0" borderId="0" xfId="0" applyNumberFormat="1" applyFo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319335083114608E-2"/>
          <c:y val="7.8703703703703706E-2"/>
          <c:w val="0.87123622047244098"/>
          <c:h val="0.73583223972003498"/>
        </c:manualLayout>
      </c:layout>
      <c:lineChart>
        <c:grouping val="standard"/>
        <c:varyColors val="0"/>
        <c:ser>
          <c:idx val="0"/>
          <c:order val="0"/>
          <c:tx>
            <c:strRef>
              <c:f>'plots and stats'!$H$2</c:f>
              <c:strCache>
                <c:ptCount val="1"/>
                <c:pt idx="0">
                  <c:v>Mean </c:v>
                </c:pt>
              </c:strCache>
            </c:strRef>
          </c:tx>
          <c:spPr>
            <a:ln w="28575" cap="rnd">
              <a:solidFill>
                <a:schemeClr val="accent1"/>
              </a:solidFill>
              <a:round/>
            </a:ln>
            <a:effectLst/>
          </c:spPr>
          <c:marker>
            <c:symbol val="none"/>
          </c:marker>
          <c:cat>
            <c:strRef>
              <c:f>'plots and stats'!$G$3:$G$8</c:f>
              <c:strCache>
                <c:ptCount val="6"/>
                <c:pt idx="0">
                  <c:v>Mar</c:v>
                </c:pt>
                <c:pt idx="1">
                  <c:v>Jun</c:v>
                </c:pt>
                <c:pt idx="2">
                  <c:v>Jul</c:v>
                </c:pt>
                <c:pt idx="3">
                  <c:v>Aug</c:v>
                </c:pt>
                <c:pt idx="4">
                  <c:v>Sep</c:v>
                </c:pt>
                <c:pt idx="5">
                  <c:v>Oct</c:v>
                </c:pt>
              </c:strCache>
            </c:strRef>
          </c:cat>
          <c:val>
            <c:numRef>
              <c:f>'plots and stats'!$H$3:$H$8</c:f>
              <c:numCache>
                <c:formatCode>0.00</c:formatCode>
                <c:ptCount val="6"/>
                <c:pt idx="0">
                  <c:v>37.913043478260882</c:v>
                </c:pt>
                <c:pt idx="1">
                  <c:v>57.374999999999993</c:v>
                </c:pt>
                <c:pt idx="2">
                  <c:v>40.388888888888886</c:v>
                </c:pt>
                <c:pt idx="3">
                  <c:v>32.640000000000008</c:v>
                </c:pt>
                <c:pt idx="4">
                  <c:v>68.636363636363654</c:v>
                </c:pt>
                <c:pt idx="5">
                  <c:v>61.879999999999988</c:v>
                </c:pt>
              </c:numCache>
            </c:numRef>
          </c:val>
          <c:smooth val="0"/>
          <c:extLst>
            <c:ext xmlns:c16="http://schemas.microsoft.com/office/drawing/2014/chart" uri="{C3380CC4-5D6E-409C-BE32-E72D297353CC}">
              <c16:uniqueId val="{00000000-034C-964E-A11F-01F73094B652}"/>
            </c:ext>
          </c:extLst>
        </c:ser>
        <c:ser>
          <c:idx val="1"/>
          <c:order val="1"/>
          <c:tx>
            <c:strRef>
              <c:f>'plots and stats'!$I$2</c:f>
              <c:strCache>
                <c:ptCount val="1"/>
                <c:pt idx="0">
                  <c:v>St Dev</c:v>
                </c:pt>
              </c:strCache>
            </c:strRef>
          </c:tx>
          <c:spPr>
            <a:ln w="28575" cap="rnd">
              <a:solidFill>
                <a:schemeClr val="accent2"/>
              </a:solidFill>
              <a:round/>
            </a:ln>
            <a:effectLst/>
          </c:spPr>
          <c:marker>
            <c:symbol val="none"/>
          </c:marker>
          <c:cat>
            <c:strRef>
              <c:f>'plots and stats'!$G$3:$G$8</c:f>
              <c:strCache>
                <c:ptCount val="6"/>
                <c:pt idx="0">
                  <c:v>Mar</c:v>
                </c:pt>
                <c:pt idx="1">
                  <c:v>Jun</c:v>
                </c:pt>
                <c:pt idx="2">
                  <c:v>Jul</c:v>
                </c:pt>
                <c:pt idx="3">
                  <c:v>Aug</c:v>
                </c:pt>
                <c:pt idx="4">
                  <c:v>Sep</c:v>
                </c:pt>
                <c:pt idx="5">
                  <c:v>Oct</c:v>
                </c:pt>
              </c:strCache>
            </c:strRef>
          </c:cat>
          <c:val>
            <c:numRef>
              <c:f>'plots and stats'!$I$3:$I$8</c:f>
              <c:numCache>
                <c:formatCode>0.00</c:formatCode>
                <c:ptCount val="6"/>
                <c:pt idx="0">
                  <c:v>61.58062936543827</c:v>
                </c:pt>
                <c:pt idx="1">
                  <c:v>57.621610529383858</c:v>
                </c:pt>
                <c:pt idx="2">
                  <c:v>45.339424331290431</c:v>
                </c:pt>
                <c:pt idx="3">
                  <c:v>40.004041462498925</c:v>
                </c:pt>
                <c:pt idx="4">
                  <c:v>84.914395395919399</c:v>
                </c:pt>
                <c:pt idx="5">
                  <c:v>62.341345296146237</c:v>
                </c:pt>
              </c:numCache>
            </c:numRef>
          </c:val>
          <c:smooth val="0"/>
          <c:extLst>
            <c:ext xmlns:c16="http://schemas.microsoft.com/office/drawing/2014/chart" uri="{C3380CC4-5D6E-409C-BE32-E72D297353CC}">
              <c16:uniqueId val="{00000001-034C-964E-A11F-01F73094B652}"/>
            </c:ext>
          </c:extLst>
        </c:ser>
        <c:ser>
          <c:idx val="2"/>
          <c:order val="2"/>
          <c:tx>
            <c:strRef>
              <c:f>'plots and stats'!$J$2</c:f>
              <c:strCache>
                <c:ptCount val="1"/>
                <c:pt idx="0">
                  <c:v>Median</c:v>
                </c:pt>
              </c:strCache>
            </c:strRef>
          </c:tx>
          <c:spPr>
            <a:ln w="28575" cap="rnd">
              <a:solidFill>
                <a:schemeClr val="accent3"/>
              </a:solidFill>
              <a:round/>
            </a:ln>
            <a:effectLst/>
          </c:spPr>
          <c:marker>
            <c:symbol val="none"/>
          </c:marker>
          <c:cat>
            <c:strRef>
              <c:f>'plots and stats'!$G$3:$G$8</c:f>
              <c:strCache>
                <c:ptCount val="6"/>
                <c:pt idx="0">
                  <c:v>Mar</c:v>
                </c:pt>
                <c:pt idx="1">
                  <c:v>Jun</c:v>
                </c:pt>
                <c:pt idx="2">
                  <c:v>Jul</c:v>
                </c:pt>
                <c:pt idx="3">
                  <c:v>Aug</c:v>
                </c:pt>
                <c:pt idx="4">
                  <c:v>Sep</c:v>
                </c:pt>
                <c:pt idx="5">
                  <c:v>Oct</c:v>
                </c:pt>
              </c:strCache>
            </c:strRef>
          </c:cat>
          <c:val>
            <c:numRef>
              <c:f>'plots and stats'!$J$3:$J$8</c:f>
              <c:numCache>
                <c:formatCode>0.00</c:formatCode>
                <c:ptCount val="6"/>
                <c:pt idx="0">
                  <c:v>12.999999999999993</c:v>
                </c:pt>
                <c:pt idx="1">
                  <c:v>42.000000000000014</c:v>
                </c:pt>
                <c:pt idx="2">
                  <c:v>18.000000000000046</c:v>
                </c:pt>
                <c:pt idx="3">
                  <c:v>17.000000000000099</c:v>
                </c:pt>
                <c:pt idx="4">
                  <c:v>46.999999999999993</c:v>
                </c:pt>
                <c:pt idx="5">
                  <c:v>46</c:v>
                </c:pt>
              </c:numCache>
            </c:numRef>
          </c:val>
          <c:smooth val="0"/>
          <c:extLst>
            <c:ext xmlns:c16="http://schemas.microsoft.com/office/drawing/2014/chart" uri="{C3380CC4-5D6E-409C-BE32-E72D297353CC}">
              <c16:uniqueId val="{00000002-034C-964E-A11F-01F73094B652}"/>
            </c:ext>
          </c:extLst>
        </c:ser>
        <c:dLbls>
          <c:showLegendKey val="0"/>
          <c:showVal val="0"/>
          <c:showCatName val="0"/>
          <c:showSerName val="0"/>
          <c:showPercent val="0"/>
          <c:showBubbleSize val="0"/>
        </c:dLbls>
        <c:smooth val="0"/>
        <c:axId val="2025100736"/>
        <c:axId val="2025102448"/>
      </c:lineChart>
      <c:catAx>
        <c:axId val="202510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102448"/>
        <c:crosses val="autoZero"/>
        <c:auto val="1"/>
        <c:lblAlgn val="ctr"/>
        <c:lblOffset val="100"/>
        <c:noMultiLvlLbl val="0"/>
      </c:catAx>
      <c:valAx>
        <c:axId val="20251024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100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'plots and stats'!$E$1</c:f>
              <c:strCache>
                <c:ptCount val="1"/>
                <c:pt idx="0">
                  <c:v>duration</c:v>
                </c:pt>
              </c:strCache>
            </c:strRef>
          </c:tx>
          <c:spPr>
            <a:solidFill>
              <a:schemeClr val="accent1"/>
            </a:solidFill>
            <a:ln>
              <a:noFill/>
            </a:ln>
            <a:effectLst/>
          </c:spPr>
          <c:invertIfNegative val="0"/>
          <c:cat>
            <c:numRef>
              <c:f>'plots and stats'!$D$2:$D$7</c:f>
              <c:numCache>
                <c:formatCode>General</c:formatCode>
                <c:ptCount val="6"/>
                <c:pt idx="0">
                  <c:v>3</c:v>
                </c:pt>
                <c:pt idx="1">
                  <c:v>6</c:v>
                </c:pt>
                <c:pt idx="2">
                  <c:v>7</c:v>
                </c:pt>
                <c:pt idx="3">
                  <c:v>8</c:v>
                </c:pt>
                <c:pt idx="4">
                  <c:v>9</c:v>
                </c:pt>
                <c:pt idx="5">
                  <c:v>10</c:v>
                </c:pt>
              </c:numCache>
            </c:numRef>
          </c:cat>
          <c:val>
            <c:numRef>
              <c:f>'plots and stats'!$E$2:$E$7</c:f>
              <c:numCache>
                <c:formatCode>0.00</c:formatCode>
                <c:ptCount val="6"/>
                <c:pt idx="0">
                  <c:v>872.00000000000034</c:v>
                </c:pt>
                <c:pt idx="1">
                  <c:v>917.99999999999989</c:v>
                </c:pt>
                <c:pt idx="2">
                  <c:v>727</c:v>
                </c:pt>
                <c:pt idx="3">
                  <c:v>816.00000000000011</c:v>
                </c:pt>
                <c:pt idx="4">
                  <c:v>755.00000000000023</c:v>
                </c:pt>
                <c:pt idx="5">
                  <c:v>1546.9999999999998</c:v>
                </c:pt>
              </c:numCache>
            </c:numRef>
          </c:val>
          <c:extLst>
            <c:ext xmlns:c16="http://schemas.microsoft.com/office/drawing/2014/chart" uri="{C3380CC4-5D6E-409C-BE32-E72D297353CC}">
              <c16:uniqueId val="{00000000-9520-5B4E-AB86-BB1AC783507B}"/>
            </c:ext>
          </c:extLst>
        </c:ser>
        <c:dLbls>
          <c:showLegendKey val="0"/>
          <c:showVal val="0"/>
          <c:showCatName val="0"/>
          <c:showSerName val="0"/>
          <c:showPercent val="0"/>
          <c:showBubbleSize val="0"/>
        </c:dLbls>
        <c:gapWidth val="219"/>
        <c:overlap val="-27"/>
        <c:axId val="1196376608"/>
        <c:axId val="1195439424"/>
      </c:barChart>
      <c:catAx>
        <c:axId val="119637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439424"/>
        <c:crosses val="autoZero"/>
        <c:auto val="1"/>
        <c:lblAlgn val="ctr"/>
        <c:lblOffset val="100"/>
        <c:noMultiLvlLbl val="0"/>
      </c:catAx>
      <c:valAx>
        <c:axId val="11954394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3766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692150</xdr:colOff>
      <xdr:row>14</xdr:row>
      <xdr:rowOff>95250</xdr:rowOff>
    </xdr:from>
    <xdr:to>
      <xdr:col>10</xdr:col>
      <xdr:colOff>311150</xdr:colOff>
      <xdr:row>28</xdr:row>
      <xdr:rowOff>171450</xdr:rowOff>
    </xdr:to>
    <xdr:graphicFrame macro="">
      <xdr:nvGraphicFramePr>
        <xdr:cNvPr id="2" name="Chart 1">
          <a:extLst>
            <a:ext uri="{FF2B5EF4-FFF2-40B4-BE49-F238E27FC236}">
              <a16:creationId xmlns:a16="http://schemas.microsoft.com/office/drawing/2014/main" id="{69C16481-7DE4-EE2F-1B1F-36BAAB9430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317500</xdr:colOff>
      <xdr:row>0</xdr:row>
      <xdr:rowOff>12700</xdr:rowOff>
    </xdr:from>
    <xdr:to>
      <xdr:col>21</xdr:col>
      <xdr:colOff>660400</xdr:colOff>
      <xdr:row>21</xdr:row>
      <xdr:rowOff>120016</xdr:rowOff>
    </xdr:to>
    <xdr:pic>
      <xdr:nvPicPr>
        <xdr:cNvPr id="4" name="Picture 3">
          <a:extLst>
            <a:ext uri="{FF2B5EF4-FFF2-40B4-BE49-F238E27FC236}">
              <a16:creationId xmlns:a16="http://schemas.microsoft.com/office/drawing/2014/main" id="{008B57CC-3242-1AC3-9E58-FBDA0616FE3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515600" y="12700"/>
          <a:ext cx="7772400" cy="4107816"/>
        </a:xfrm>
        <a:prstGeom prst="rect">
          <a:avLst/>
        </a:prstGeom>
      </xdr:spPr>
    </xdr:pic>
    <xdr:clientData/>
  </xdr:twoCellAnchor>
  <xdr:twoCellAnchor>
    <xdr:from>
      <xdr:col>11</xdr:col>
      <xdr:colOff>628650</xdr:colOff>
      <xdr:row>25</xdr:row>
      <xdr:rowOff>146050</xdr:rowOff>
    </xdr:from>
    <xdr:to>
      <xdr:col>17</xdr:col>
      <xdr:colOff>247650</xdr:colOff>
      <xdr:row>40</xdr:row>
      <xdr:rowOff>31750</xdr:rowOff>
    </xdr:to>
    <xdr:graphicFrame macro="">
      <xdr:nvGraphicFramePr>
        <xdr:cNvPr id="6" name="Chart 5">
          <a:extLst>
            <a:ext uri="{FF2B5EF4-FFF2-40B4-BE49-F238E27FC236}">
              <a16:creationId xmlns:a16="http://schemas.microsoft.com/office/drawing/2014/main" id="{8D825440-9460-2D2E-BDC2-83BD298157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7"/>
  <sheetViews>
    <sheetView zoomScaleNormal="100" workbookViewId="0">
      <pane ySplit="1" topLeftCell="A2" activePane="bottomLeft" state="frozen"/>
      <selection pane="bottomLeft" activeCell="C34" sqref="C34"/>
    </sheetView>
  </sheetViews>
  <sheetFormatPr baseColWidth="10" defaultColWidth="9.1640625" defaultRowHeight="12.75" customHeight="1" x14ac:dyDescent="0.2"/>
  <cols>
    <col min="1" max="1" width="14.6640625" style="1" customWidth="1"/>
    <col min="2" max="2" width="29.1640625" style="1" customWidth="1"/>
    <col min="3" max="3" width="46.6640625" style="8" customWidth="1"/>
    <col min="4" max="4" width="14.6640625" style="13" customWidth="1"/>
    <col min="5" max="5" width="10.5" style="13" customWidth="1"/>
    <col min="6" max="6" width="11.5" style="13" customWidth="1"/>
    <col min="7" max="8" width="13.83203125" style="13" customWidth="1"/>
    <col min="9" max="10" width="11.83203125" style="1" customWidth="1"/>
    <col min="11" max="16384" width="9.1640625" style="1"/>
  </cols>
  <sheetData>
    <row r="1" spans="1:10" s="2" customFormat="1" ht="64.5" customHeight="1" x14ac:dyDescent="0.2">
      <c r="A1" s="2" t="s">
        <v>0</v>
      </c>
      <c r="B1" s="2" t="s">
        <v>1</v>
      </c>
      <c r="C1" s="10" t="s">
        <v>2</v>
      </c>
      <c r="D1" s="2" t="s">
        <v>3</v>
      </c>
      <c r="E1" s="2" t="s">
        <v>4</v>
      </c>
      <c r="F1" s="2" t="s">
        <v>5</v>
      </c>
      <c r="G1" s="2" t="s">
        <v>6</v>
      </c>
      <c r="H1" s="2" t="s">
        <v>7</v>
      </c>
      <c r="I1" s="2" t="s">
        <v>8</v>
      </c>
      <c r="J1" s="2" t="s">
        <v>9</v>
      </c>
    </row>
    <row r="2" spans="1:10" ht="12.75" customHeight="1" x14ac:dyDescent="0.2">
      <c r="A2" s="16">
        <v>45689</v>
      </c>
      <c r="B2" s="8" t="s">
        <v>115</v>
      </c>
      <c r="C2" s="8" t="s">
        <v>116</v>
      </c>
      <c r="D2" s="14"/>
      <c r="E2" s="14">
        <v>1</v>
      </c>
      <c r="F2" s="14"/>
      <c r="G2" s="14"/>
      <c r="H2" s="14"/>
      <c r="I2" s="8"/>
      <c r="J2" s="8"/>
    </row>
    <row r="3" spans="1:10" ht="12.75" customHeight="1" x14ac:dyDescent="0.2">
      <c r="A3" s="16">
        <v>45689</v>
      </c>
      <c r="B3" t="s">
        <v>117</v>
      </c>
      <c r="D3" s="14"/>
      <c r="E3" s="14"/>
      <c r="F3" s="14"/>
      <c r="G3" s="14"/>
      <c r="H3" s="14"/>
      <c r="I3" s="8"/>
      <c r="J3" s="8"/>
    </row>
    <row r="4" spans="1:10" ht="12.75" customHeight="1" x14ac:dyDescent="0.2">
      <c r="A4" s="7">
        <v>45689</v>
      </c>
      <c r="B4" s="8" t="s">
        <v>118</v>
      </c>
      <c r="C4" s="8" t="s">
        <v>119</v>
      </c>
      <c r="D4" s="14"/>
      <c r="E4" s="14">
        <v>1</v>
      </c>
      <c r="F4" s="14"/>
      <c r="G4" s="14"/>
      <c r="H4" s="14"/>
      <c r="I4" s="9">
        <v>7.6388888888888886E-3</v>
      </c>
      <c r="J4" s="9">
        <v>3.125E-2</v>
      </c>
    </row>
    <row r="5" spans="1:10" ht="12.75" customHeight="1" x14ac:dyDescent="0.2">
      <c r="A5" s="7">
        <v>45690</v>
      </c>
      <c r="B5" s="8" t="s">
        <v>120</v>
      </c>
      <c r="C5" s="8" t="s">
        <v>121</v>
      </c>
      <c r="D5" s="14"/>
      <c r="E5" s="14">
        <v>1</v>
      </c>
      <c r="F5" s="14"/>
      <c r="G5" s="14"/>
      <c r="H5" s="14"/>
      <c r="I5" s="9">
        <v>0.48194444444444445</v>
      </c>
      <c r="J5" s="9">
        <v>0.60416666666666663</v>
      </c>
    </row>
    <row r="6" spans="1:10" ht="12.75" customHeight="1" x14ac:dyDescent="0.2">
      <c r="A6" s="16">
        <v>45691</v>
      </c>
      <c r="B6" t="s">
        <v>122</v>
      </c>
      <c r="D6" s="14"/>
      <c r="E6" s="14">
        <v>1</v>
      </c>
      <c r="F6" s="14"/>
      <c r="G6" s="14" t="s">
        <v>12</v>
      </c>
      <c r="H6" s="14"/>
      <c r="I6" s="9">
        <v>0.23333333333333331</v>
      </c>
      <c r="J6" s="9">
        <v>0.24305555555555555</v>
      </c>
    </row>
    <row r="7" spans="1:10" ht="12.75" customHeight="1" x14ac:dyDescent="0.2">
      <c r="A7" s="16">
        <v>45691</v>
      </c>
      <c r="B7" t="s">
        <v>123</v>
      </c>
      <c r="D7" s="14"/>
      <c r="E7" s="14"/>
      <c r="F7" s="14"/>
      <c r="G7" s="14"/>
      <c r="H7" s="14"/>
      <c r="I7" s="8"/>
      <c r="J7" s="8"/>
    </row>
    <row r="8" spans="1:10" ht="12.75" customHeight="1" x14ac:dyDescent="0.2">
      <c r="A8" s="16">
        <v>45692</v>
      </c>
      <c r="B8" t="s">
        <v>124</v>
      </c>
      <c r="D8" s="14"/>
      <c r="E8" s="14"/>
      <c r="F8" s="14"/>
      <c r="G8" s="14"/>
      <c r="H8" s="14"/>
      <c r="I8" s="8"/>
      <c r="J8" s="8"/>
    </row>
    <row r="9" spans="1:10" ht="12.75" customHeight="1" x14ac:dyDescent="0.2">
      <c r="A9" s="16">
        <v>45692</v>
      </c>
      <c r="B9" t="s">
        <v>125</v>
      </c>
      <c r="D9" s="14"/>
      <c r="E9" s="14"/>
      <c r="F9" s="14"/>
      <c r="G9" s="14"/>
      <c r="H9" s="14"/>
      <c r="I9" s="8"/>
      <c r="J9" s="8"/>
    </row>
    <row r="10" spans="1:10" ht="12.75" customHeight="1" x14ac:dyDescent="0.2">
      <c r="A10" s="16">
        <v>45692</v>
      </c>
      <c r="B10" t="s">
        <v>126</v>
      </c>
      <c r="D10" s="14"/>
      <c r="E10" s="14"/>
      <c r="F10" s="14"/>
      <c r="G10" s="14"/>
      <c r="H10" s="14"/>
      <c r="I10" s="8"/>
      <c r="J10" s="8"/>
    </row>
    <row r="11" spans="1:10" ht="12.75" customHeight="1" x14ac:dyDescent="0.2">
      <c r="A11" s="16">
        <v>45692</v>
      </c>
      <c r="B11" t="s">
        <v>127</v>
      </c>
      <c r="D11" s="14"/>
      <c r="E11" s="14"/>
      <c r="F11" s="14"/>
      <c r="G11" s="14"/>
      <c r="H11" s="14"/>
      <c r="I11" s="8"/>
      <c r="J11" s="8"/>
    </row>
    <row r="12" spans="1:10" ht="12.75" customHeight="1" x14ac:dyDescent="0.2">
      <c r="A12" s="16">
        <v>45693</v>
      </c>
      <c r="B12" t="s">
        <v>128</v>
      </c>
      <c r="D12" s="14"/>
      <c r="E12" s="14"/>
      <c r="F12" s="14"/>
      <c r="G12" s="14"/>
      <c r="H12" s="14"/>
      <c r="I12" s="8"/>
      <c r="J12" s="8"/>
    </row>
    <row r="13" spans="1:10" ht="12.75" customHeight="1" x14ac:dyDescent="0.2">
      <c r="A13" s="16">
        <v>45694</v>
      </c>
      <c r="B13" t="s">
        <v>129</v>
      </c>
      <c r="D13" s="14"/>
      <c r="E13" s="14"/>
      <c r="F13" s="14"/>
      <c r="G13" s="14"/>
      <c r="H13" s="14"/>
      <c r="I13" s="8"/>
      <c r="J13" s="8"/>
    </row>
    <row r="14" spans="1:10" ht="12.75" customHeight="1" x14ac:dyDescent="0.2">
      <c r="A14" s="16">
        <v>45694</v>
      </c>
      <c r="B14" t="s">
        <v>130</v>
      </c>
      <c r="D14" s="14"/>
      <c r="E14" s="14"/>
      <c r="F14" s="14"/>
      <c r="G14" s="14"/>
      <c r="H14" s="14"/>
      <c r="I14" s="8"/>
      <c r="J14" s="8"/>
    </row>
    <row r="15" spans="1:10" ht="12.75" customHeight="1" x14ac:dyDescent="0.2">
      <c r="A15" s="16">
        <v>45695</v>
      </c>
      <c r="B15" t="s">
        <v>131</v>
      </c>
      <c r="D15" s="14"/>
      <c r="E15" s="14"/>
      <c r="F15" s="14"/>
      <c r="G15" s="14"/>
      <c r="H15" s="14"/>
      <c r="I15" s="8"/>
      <c r="J15" s="8"/>
    </row>
    <row r="16" spans="1:10" ht="12.75" customHeight="1" x14ac:dyDescent="0.2">
      <c r="A16" s="16">
        <v>45695</v>
      </c>
      <c r="B16" t="s">
        <v>132</v>
      </c>
      <c r="D16" s="14"/>
      <c r="E16" s="14"/>
      <c r="F16" s="14"/>
      <c r="G16" s="14"/>
      <c r="H16" s="14"/>
      <c r="I16" s="8"/>
      <c r="J16" s="8"/>
    </row>
    <row r="17" spans="1:10" ht="12.75" customHeight="1" x14ac:dyDescent="0.2">
      <c r="A17" s="16">
        <v>45695</v>
      </c>
      <c r="B17" t="s">
        <v>125</v>
      </c>
      <c r="D17" s="14"/>
      <c r="E17" s="14"/>
      <c r="F17" s="14"/>
      <c r="G17" s="14"/>
      <c r="H17" s="14"/>
      <c r="I17" s="8"/>
      <c r="J17" s="8"/>
    </row>
    <row r="18" spans="1:10" ht="12.75" customHeight="1" x14ac:dyDescent="0.2">
      <c r="A18" s="16">
        <v>45695</v>
      </c>
      <c r="B18" t="s">
        <v>133</v>
      </c>
      <c r="D18" s="14"/>
      <c r="E18" s="14"/>
      <c r="F18" s="14"/>
      <c r="G18" s="14"/>
      <c r="H18" s="14"/>
      <c r="I18" s="8"/>
      <c r="J18" s="8"/>
    </row>
    <row r="19" spans="1:10" ht="12.75" customHeight="1" x14ac:dyDescent="0.2">
      <c r="A19" s="16">
        <v>45695</v>
      </c>
      <c r="B19" t="s">
        <v>134</v>
      </c>
      <c r="D19" s="14"/>
      <c r="E19" s="14"/>
      <c r="F19" s="14"/>
      <c r="G19" s="14"/>
      <c r="H19" s="14"/>
      <c r="I19" s="8"/>
      <c r="J19" s="8"/>
    </row>
    <row r="20" spans="1:10" ht="12.5" customHeight="1" x14ac:dyDescent="0.2">
      <c r="A20" s="16">
        <v>45695</v>
      </c>
      <c r="B20" t="s">
        <v>135</v>
      </c>
      <c r="D20" s="14"/>
      <c r="E20" s="14"/>
      <c r="F20" s="14"/>
      <c r="G20" s="14"/>
      <c r="H20" s="14"/>
      <c r="I20" s="8"/>
      <c r="J20" s="8"/>
    </row>
    <row r="21" spans="1:10" ht="12.5" customHeight="1" x14ac:dyDescent="0.2">
      <c r="A21" s="16">
        <v>45695</v>
      </c>
      <c r="B21" t="s">
        <v>136</v>
      </c>
      <c r="D21" s="14"/>
      <c r="E21" s="14"/>
      <c r="F21" s="14"/>
      <c r="G21" s="14"/>
      <c r="H21" s="14"/>
      <c r="I21" s="8"/>
      <c r="J21" s="8"/>
    </row>
    <row r="22" spans="1:10" ht="12.75" customHeight="1" x14ac:dyDescent="0.2">
      <c r="A22" s="16">
        <v>45695</v>
      </c>
      <c r="B22" t="s">
        <v>137</v>
      </c>
      <c r="D22" s="14"/>
      <c r="E22" s="14"/>
      <c r="F22" s="14"/>
      <c r="G22" s="14"/>
      <c r="H22" s="14"/>
      <c r="I22" s="8"/>
      <c r="J22" s="8"/>
    </row>
    <row r="23" spans="1:10" ht="12.75" customHeight="1" x14ac:dyDescent="0.2">
      <c r="A23" s="16">
        <v>45696</v>
      </c>
      <c r="B23" t="s">
        <v>138</v>
      </c>
      <c r="D23" s="14"/>
      <c r="E23" s="14"/>
      <c r="F23" s="14"/>
      <c r="G23" s="14"/>
      <c r="H23" s="14"/>
      <c r="I23" s="8"/>
      <c r="J23" s="8"/>
    </row>
    <row r="24" spans="1:10" ht="12.75" customHeight="1" x14ac:dyDescent="0.2">
      <c r="A24" s="16">
        <v>45696</v>
      </c>
      <c r="B24" t="s">
        <v>139</v>
      </c>
      <c r="D24" s="14"/>
      <c r="E24" s="14"/>
      <c r="F24" s="14"/>
      <c r="G24" s="14"/>
      <c r="H24" s="14"/>
      <c r="I24" s="8"/>
      <c r="J24" s="8"/>
    </row>
    <row r="25" spans="1:10" ht="12.75" customHeight="1" x14ac:dyDescent="0.2">
      <c r="A25" s="16">
        <v>45696</v>
      </c>
      <c r="B25" t="s">
        <v>140</v>
      </c>
      <c r="D25" s="14"/>
      <c r="E25" s="14"/>
      <c r="F25" s="14"/>
      <c r="G25" s="14"/>
      <c r="H25" s="14"/>
      <c r="I25" s="8"/>
      <c r="J25" s="8"/>
    </row>
    <row r="26" spans="1:10" ht="12.75" customHeight="1" x14ac:dyDescent="0.2">
      <c r="A26" s="16">
        <v>45696</v>
      </c>
      <c r="B26" t="s">
        <v>141</v>
      </c>
      <c r="D26" s="14"/>
      <c r="E26" s="14"/>
      <c r="F26" s="14"/>
      <c r="G26" s="14"/>
      <c r="H26" s="14"/>
      <c r="I26" s="8"/>
      <c r="J26" s="8"/>
    </row>
    <row r="27" spans="1:10" ht="12.75" customHeight="1" x14ac:dyDescent="0.2">
      <c r="A27" s="16">
        <v>45697</v>
      </c>
      <c r="B27" t="s">
        <v>142</v>
      </c>
      <c r="D27" s="14"/>
      <c r="E27" s="14"/>
      <c r="F27" s="14"/>
      <c r="G27" s="14"/>
      <c r="H27" s="14"/>
      <c r="I27" s="8"/>
      <c r="J27" s="8"/>
    </row>
    <row r="28" spans="1:10" ht="12.75" customHeight="1" x14ac:dyDescent="0.2">
      <c r="A28" s="16">
        <v>45697</v>
      </c>
      <c r="B28" t="s">
        <v>143</v>
      </c>
      <c r="D28" s="14"/>
      <c r="E28" s="14"/>
      <c r="F28" s="14"/>
      <c r="G28" s="14"/>
      <c r="H28" s="14"/>
      <c r="I28" s="8"/>
      <c r="J28" s="8"/>
    </row>
    <row r="29" spans="1:10" ht="12.75" customHeight="1" x14ac:dyDescent="0.2">
      <c r="A29" s="16">
        <v>45697</v>
      </c>
      <c r="B29" t="s">
        <v>144</v>
      </c>
      <c r="D29" s="14"/>
      <c r="E29" s="14"/>
      <c r="F29" s="14"/>
      <c r="G29" s="14"/>
      <c r="H29" s="14"/>
      <c r="I29" s="8"/>
      <c r="J29" s="8"/>
    </row>
    <row r="30" spans="1:10" ht="12.75" customHeight="1" x14ac:dyDescent="0.2">
      <c r="A30" s="16">
        <v>45697</v>
      </c>
      <c r="B30" t="s">
        <v>145</v>
      </c>
      <c r="D30" s="14"/>
      <c r="E30" s="14"/>
      <c r="F30" s="14"/>
      <c r="G30" s="14"/>
      <c r="H30" s="14"/>
      <c r="I30" s="8"/>
      <c r="J30" s="8"/>
    </row>
    <row r="31" spans="1:10" ht="12.75" customHeight="1" x14ac:dyDescent="0.2">
      <c r="A31" s="16">
        <v>45717</v>
      </c>
      <c r="B31" s="8" t="s">
        <v>200</v>
      </c>
      <c r="C31" s="8" t="s">
        <v>224</v>
      </c>
      <c r="D31" s="14"/>
      <c r="E31" s="14">
        <v>2</v>
      </c>
      <c r="F31" s="14"/>
      <c r="G31" s="14"/>
      <c r="H31" s="14"/>
      <c r="I31" s="11">
        <v>0.54861111111111116</v>
      </c>
      <c r="J31" s="11">
        <v>0.57013888888888886</v>
      </c>
    </row>
    <row r="32" spans="1:10" ht="12.75" customHeight="1" x14ac:dyDescent="0.2">
      <c r="A32" s="16">
        <v>45717</v>
      </c>
      <c r="B32" s="8" t="s">
        <v>201</v>
      </c>
      <c r="C32" s="8" t="s">
        <v>225</v>
      </c>
      <c r="D32" s="14"/>
      <c r="E32" s="14">
        <v>1</v>
      </c>
      <c r="F32" s="14"/>
      <c r="G32" s="14"/>
      <c r="H32" s="14"/>
      <c r="I32" s="11">
        <v>0.68055555555555558</v>
      </c>
      <c r="J32" s="11">
        <v>0.86944444444444446</v>
      </c>
    </row>
    <row r="33" spans="1:10" ht="12.75" customHeight="1" x14ac:dyDescent="0.2">
      <c r="A33" s="16">
        <v>45718</v>
      </c>
      <c r="B33" s="8" t="s">
        <v>202</v>
      </c>
      <c r="C33" s="8" t="s">
        <v>226</v>
      </c>
      <c r="D33" s="14"/>
      <c r="E33" s="14">
        <v>1</v>
      </c>
      <c r="F33" s="14"/>
      <c r="G33" s="14"/>
      <c r="H33" s="14"/>
      <c r="I33" s="11">
        <v>0.6020833333333333</v>
      </c>
      <c r="J33" s="11">
        <v>0.61458333333333337</v>
      </c>
    </row>
    <row r="34" spans="1:10" ht="12.75" customHeight="1" x14ac:dyDescent="0.2">
      <c r="A34" s="16">
        <v>45721</v>
      </c>
      <c r="B34" s="8" t="s">
        <v>203</v>
      </c>
      <c r="C34" s="8" t="s">
        <v>227</v>
      </c>
      <c r="D34" s="14"/>
      <c r="E34" s="14">
        <v>1</v>
      </c>
      <c r="F34" s="14"/>
      <c r="G34" s="14"/>
      <c r="H34" s="14"/>
      <c r="I34" s="11">
        <v>0.25416666666666665</v>
      </c>
      <c r="J34" s="11">
        <v>0.25763888888888886</v>
      </c>
    </row>
    <row r="35" spans="1:10" ht="12.75" customHeight="1" x14ac:dyDescent="0.2">
      <c r="A35" s="16">
        <v>45722</v>
      </c>
      <c r="B35" s="8" t="s">
        <v>204</v>
      </c>
      <c r="C35" s="8" t="s">
        <v>228</v>
      </c>
      <c r="D35" s="14"/>
      <c r="E35" s="14">
        <v>1</v>
      </c>
      <c r="F35" s="14"/>
      <c r="G35" s="14"/>
      <c r="H35" s="14"/>
      <c r="I35" s="11">
        <v>0.2361111111111111</v>
      </c>
      <c r="J35" s="11">
        <v>0.24236111111111111</v>
      </c>
    </row>
    <row r="36" spans="1:10" ht="12.75" customHeight="1" x14ac:dyDescent="0.2">
      <c r="A36" s="16">
        <v>45723</v>
      </c>
      <c r="B36" s="8" t="s">
        <v>205</v>
      </c>
      <c r="C36" s="8" t="s">
        <v>229</v>
      </c>
      <c r="D36" s="14"/>
      <c r="E36" s="14">
        <v>1</v>
      </c>
      <c r="F36" s="14"/>
      <c r="G36" s="14"/>
      <c r="H36" s="14"/>
      <c r="I36" s="11">
        <v>0.26319444444444445</v>
      </c>
      <c r="J36" s="11">
        <v>0.34236111111111112</v>
      </c>
    </row>
    <row r="37" spans="1:10" ht="12.75" customHeight="1" x14ac:dyDescent="0.2">
      <c r="A37" s="16">
        <v>45723</v>
      </c>
      <c r="B37" s="8" t="s">
        <v>206</v>
      </c>
      <c r="C37" s="8" t="s">
        <v>230</v>
      </c>
      <c r="D37" s="14"/>
      <c r="E37" s="14">
        <v>1</v>
      </c>
      <c r="F37" s="14"/>
      <c r="G37" s="14"/>
      <c r="H37" s="14"/>
      <c r="I37" s="11">
        <v>0.80069444444444449</v>
      </c>
      <c r="J37" s="11">
        <v>0.80486111111111114</v>
      </c>
    </row>
    <row r="38" spans="1:10" ht="12.75" customHeight="1" x14ac:dyDescent="0.2">
      <c r="A38" s="16">
        <v>45725</v>
      </c>
      <c r="B38" s="8" t="s">
        <v>207</v>
      </c>
      <c r="C38" s="8" t="s">
        <v>231</v>
      </c>
      <c r="D38" s="14"/>
      <c r="E38" s="14">
        <v>1</v>
      </c>
      <c r="F38" s="14"/>
      <c r="G38" s="14"/>
      <c r="H38" s="14"/>
      <c r="I38" s="11">
        <v>0.46388888888888891</v>
      </c>
      <c r="J38" s="11">
        <v>0.46805555555555556</v>
      </c>
    </row>
    <row r="39" spans="1:10" ht="12.75" customHeight="1" x14ac:dyDescent="0.2">
      <c r="A39" s="16">
        <v>45728</v>
      </c>
      <c r="B39" s="8" t="s">
        <v>208</v>
      </c>
      <c r="C39" s="8" t="s">
        <v>232</v>
      </c>
      <c r="D39" s="14"/>
      <c r="E39" s="14">
        <v>1</v>
      </c>
      <c r="F39" s="14"/>
      <c r="G39" s="14"/>
      <c r="H39" s="14"/>
      <c r="I39" s="11">
        <v>0.10486111111111111</v>
      </c>
      <c r="J39" s="11">
        <v>0.52361111111111114</v>
      </c>
    </row>
    <row r="40" spans="1:10" ht="12.75" customHeight="1" x14ac:dyDescent="0.2">
      <c r="A40" s="16">
        <v>45728</v>
      </c>
      <c r="B40" s="8" t="s">
        <v>209</v>
      </c>
      <c r="C40" s="8" t="s">
        <v>233</v>
      </c>
      <c r="D40" s="14"/>
      <c r="E40" s="14">
        <v>1</v>
      </c>
      <c r="F40" s="14"/>
      <c r="G40" s="14"/>
      <c r="H40" s="14"/>
      <c r="I40" s="11">
        <v>0.61944444444444446</v>
      </c>
      <c r="J40" s="11">
        <v>0.63124999999999998</v>
      </c>
    </row>
    <row r="41" spans="1:10" ht="12.75" customHeight="1" x14ac:dyDescent="0.2">
      <c r="A41" s="16">
        <v>45730</v>
      </c>
      <c r="B41" s="8" t="s">
        <v>210</v>
      </c>
      <c r="C41" s="8" t="s">
        <v>234</v>
      </c>
      <c r="D41" s="14"/>
      <c r="E41" s="14">
        <v>1</v>
      </c>
      <c r="F41" s="14"/>
      <c r="G41" s="14"/>
      <c r="H41" s="14"/>
      <c r="I41" s="11">
        <v>0.53263888888888888</v>
      </c>
      <c r="J41" s="11">
        <v>0.55208333333333337</v>
      </c>
    </row>
    <row r="42" spans="1:10" ht="12.75" customHeight="1" x14ac:dyDescent="0.2">
      <c r="A42" s="16">
        <v>45732</v>
      </c>
      <c r="B42" s="8" t="s">
        <v>211</v>
      </c>
      <c r="C42" s="8" t="s">
        <v>235</v>
      </c>
      <c r="D42" s="14"/>
      <c r="E42" s="14">
        <v>3</v>
      </c>
      <c r="F42" s="14"/>
      <c r="G42" s="14"/>
      <c r="H42" s="14"/>
      <c r="I42" s="11">
        <v>5.486111111111111E-2</v>
      </c>
      <c r="J42" s="11">
        <v>6.3888888888888884E-2</v>
      </c>
    </row>
    <row r="43" spans="1:10" ht="12.75" customHeight="1" x14ac:dyDescent="0.2">
      <c r="A43" s="16">
        <v>45732</v>
      </c>
      <c r="B43" s="8" t="s">
        <v>212</v>
      </c>
      <c r="C43" s="8" t="s">
        <v>236</v>
      </c>
      <c r="D43" s="14"/>
      <c r="E43" s="14">
        <v>1</v>
      </c>
      <c r="F43" s="14"/>
      <c r="G43" s="14"/>
      <c r="H43" s="14"/>
      <c r="I43" s="11">
        <v>0.60902777777777772</v>
      </c>
      <c r="J43" s="11">
        <v>0.61250000000000004</v>
      </c>
    </row>
    <row r="44" spans="1:10" ht="12.75" customHeight="1" x14ac:dyDescent="0.2">
      <c r="A44" s="16">
        <v>45734</v>
      </c>
      <c r="B44" s="8" t="s">
        <v>213</v>
      </c>
      <c r="C44" s="8" t="s">
        <v>237</v>
      </c>
      <c r="D44" s="14"/>
      <c r="E44" s="14">
        <v>1</v>
      </c>
      <c r="F44" s="14"/>
      <c r="G44" s="14"/>
      <c r="H44" s="14"/>
      <c r="I44" s="11">
        <v>0.4201388888888889</v>
      </c>
      <c r="J44" s="11">
        <v>0.42777777777777776</v>
      </c>
    </row>
    <row r="45" spans="1:10" ht="13" customHeight="1" x14ac:dyDescent="0.2">
      <c r="A45" s="16">
        <v>45735</v>
      </c>
      <c r="B45" s="8" t="s">
        <v>214</v>
      </c>
      <c r="C45" s="8" t="s">
        <v>238</v>
      </c>
      <c r="D45" s="14"/>
      <c r="E45" s="14">
        <v>1</v>
      </c>
      <c r="F45" s="14"/>
      <c r="G45" s="14"/>
      <c r="H45" s="14"/>
      <c r="I45" s="11">
        <v>0.70416666666666672</v>
      </c>
      <c r="J45" s="11">
        <v>0.72430555555555554</v>
      </c>
    </row>
    <row r="46" spans="1:10" ht="12.75" customHeight="1" x14ac:dyDescent="0.2">
      <c r="A46" s="16">
        <v>45735</v>
      </c>
      <c r="B46" s="8" t="s">
        <v>215</v>
      </c>
      <c r="C46" s="8" t="s">
        <v>239</v>
      </c>
      <c r="D46" s="14"/>
      <c r="E46" s="14">
        <v>1</v>
      </c>
      <c r="F46" s="14"/>
      <c r="G46" s="14"/>
      <c r="H46" s="14"/>
      <c r="I46" s="11">
        <v>0.72291666666666665</v>
      </c>
      <c r="J46" s="11">
        <v>0.7270833333333333</v>
      </c>
    </row>
    <row r="47" spans="1:10" ht="12.75" customHeight="1" x14ac:dyDescent="0.2">
      <c r="A47" s="16">
        <v>45738</v>
      </c>
      <c r="B47" s="8" t="s">
        <v>216</v>
      </c>
      <c r="C47" s="8" t="s">
        <v>240</v>
      </c>
      <c r="D47" s="14"/>
      <c r="E47" s="14">
        <v>1</v>
      </c>
      <c r="F47" s="14"/>
      <c r="G47" s="14"/>
      <c r="H47" s="14"/>
      <c r="I47" s="11">
        <v>0.58194444444444449</v>
      </c>
      <c r="J47" s="11">
        <v>0.67708333333333337</v>
      </c>
    </row>
    <row r="48" spans="1:10" ht="12.75" customHeight="1" x14ac:dyDescent="0.2">
      <c r="A48" s="16">
        <v>45738</v>
      </c>
      <c r="B48" s="8" t="s">
        <v>217</v>
      </c>
      <c r="C48" s="8" t="s">
        <v>241</v>
      </c>
      <c r="D48" s="14"/>
      <c r="E48" s="14">
        <v>1</v>
      </c>
      <c r="F48" s="14"/>
      <c r="G48" s="14"/>
      <c r="H48" s="14"/>
      <c r="I48" s="11">
        <v>0.76388888888888884</v>
      </c>
      <c r="J48" s="11">
        <v>0.80277777777777781</v>
      </c>
    </row>
    <row r="49" spans="1:10" ht="12.75" customHeight="1" x14ac:dyDescent="0.2">
      <c r="A49" s="16">
        <v>45738</v>
      </c>
      <c r="B49" s="8" t="s">
        <v>218</v>
      </c>
      <c r="C49" s="8" t="s">
        <v>242</v>
      </c>
      <c r="D49" s="14"/>
      <c r="E49" s="14">
        <v>1</v>
      </c>
      <c r="F49" s="14"/>
      <c r="G49" s="14"/>
      <c r="H49" s="14"/>
      <c r="I49" s="11">
        <v>0.76388888888888884</v>
      </c>
      <c r="J49" s="11">
        <v>0.77916666666666667</v>
      </c>
    </row>
    <row r="50" spans="1:10" ht="12.75" customHeight="1" x14ac:dyDescent="0.2">
      <c r="A50" s="16">
        <v>45739</v>
      </c>
      <c r="B50" s="8" t="s">
        <v>219</v>
      </c>
      <c r="C50" s="8" t="s">
        <v>243</v>
      </c>
      <c r="D50" s="14"/>
      <c r="E50" s="14">
        <v>3</v>
      </c>
      <c r="F50" s="14"/>
      <c r="G50" s="14"/>
      <c r="H50" s="14"/>
      <c r="I50" s="11">
        <v>0.81180555555555556</v>
      </c>
      <c r="J50" s="11">
        <v>0.85069444444444442</v>
      </c>
    </row>
    <row r="51" spans="1:10" ht="12.75" customHeight="1" x14ac:dyDescent="0.2">
      <c r="A51" s="16">
        <v>45740</v>
      </c>
      <c r="B51" s="8" t="s">
        <v>220</v>
      </c>
      <c r="C51" s="8" t="s">
        <v>244</v>
      </c>
      <c r="D51" s="14"/>
      <c r="E51" s="14">
        <v>1</v>
      </c>
      <c r="F51" s="14"/>
      <c r="G51" s="14"/>
      <c r="H51" s="14"/>
      <c r="I51" s="11">
        <v>0.74652777777777779</v>
      </c>
      <c r="J51" s="11">
        <v>0.75</v>
      </c>
    </row>
    <row r="52" spans="1:10" ht="12.75" customHeight="1" x14ac:dyDescent="0.2">
      <c r="A52" s="16">
        <v>45743</v>
      </c>
      <c r="B52" s="8" t="s">
        <v>221</v>
      </c>
      <c r="C52" s="8" t="s">
        <v>245</v>
      </c>
      <c r="D52" s="14"/>
      <c r="E52" s="14">
        <v>1</v>
      </c>
      <c r="F52" s="14"/>
      <c r="G52" s="14"/>
      <c r="H52" s="14"/>
      <c r="I52" s="11">
        <v>0.76249999999999996</v>
      </c>
      <c r="J52" s="11">
        <v>0.76875000000000004</v>
      </c>
    </row>
    <row r="53" spans="1:10" ht="12.75" customHeight="1" x14ac:dyDescent="0.2">
      <c r="A53" s="16">
        <v>45745</v>
      </c>
      <c r="B53" s="8" t="s">
        <v>222</v>
      </c>
      <c r="C53" s="8" t="s">
        <v>246</v>
      </c>
      <c r="D53" s="14"/>
      <c r="E53" s="14">
        <v>1</v>
      </c>
      <c r="F53" s="14"/>
      <c r="G53" s="14"/>
      <c r="H53" s="14"/>
      <c r="I53" s="11">
        <v>0.7993055555555556</v>
      </c>
      <c r="J53" s="11">
        <v>0.8041666666666667</v>
      </c>
    </row>
    <row r="54" spans="1:10" ht="12.75" customHeight="1" x14ac:dyDescent="0.2">
      <c r="A54" s="16">
        <v>45746</v>
      </c>
      <c r="B54" s="8" t="s">
        <v>223</v>
      </c>
      <c r="C54" s="8" t="s">
        <v>247</v>
      </c>
      <c r="D54" s="14"/>
      <c r="E54" s="14">
        <v>1</v>
      </c>
      <c r="F54" s="14"/>
      <c r="G54" s="14"/>
      <c r="H54" s="14"/>
      <c r="I54" s="11">
        <v>0.9</v>
      </c>
      <c r="J54" s="11">
        <v>0.90694444444444444</v>
      </c>
    </row>
    <row r="55" spans="1:10" ht="12.75" customHeight="1" x14ac:dyDescent="0.2">
      <c r="A55" s="17">
        <v>45811</v>
      </c>
      <c r="B55" s="8" t="s">
        <v>99</v>
      </c>
      <c r="C55" t="s">
        <v>147</v>
      </c>
      <c r="D55" s="18"/>
      <c r="E55" s="14">
        <v>1</v>
      </c>
      <c r="F55" s="14"/>
      <c r="G55" s="14"/>
      <c r="H55" s="14"/>
      <c r="I55" s="19" t="s">
        <v>64</v>
      </c>
      <c r="J55" s="19" t="s">
        <v>65</v>
      </c>
    </row>
    <row r="56" spans="1:10" ht="12.75" customHeight="1" x14ac:dyDescent="0.2">
      <c r="A56" s="17">
        <v>45812</v>
      </c>
      <c r="B56" s="8" t="s">
        <v>100</v>
      </c>
      <c r="C56" t="s">
        <v>148</v>
      </c>
      <c r="D56" s="18"/>
      <c r="E56" s="14">
        <v>3</v>
      </c>
      <c r="F56" s="14"/>
      <c r="G56" s="14"/>
      <c r="H56" s="14"/>
      <c r="I56" s="19" t="s">
        <v>66</v>
      </c>
      <c r="J56" s="19" t="s">
        <v>67</v>
      </c>
    </row>
    <row r="57" spans="1:10" ht="12.75" customHeight="1" x14ac:dyDescent="0.2">
      <c r="A57" s="17">
        <v>45824</v>
      </c>
      <c r="B57" s="8" t="s">
        <v>101</v>
      </c>
      <c r="C57" t="s">
        <v>149</v>
      </c>
      <c r="D57" s="18"/>
      <c r="E57" s="14">
        <v>1</v>
      </c>
      <c r="F57" s="14"/>
      <c r="G57" s="14"/>
      <c r="H57" s="14"/>
      <c r="I57" s="19" t="s">
        <v>68</v>
      </c>
      <c r="J57" s="19" t="s">
        <v>69</v>
      </c>
    </row>
    <row r="58" spans="1:10" ht="12.75" customHeight="1" x14ac:dyDescent="0.2">
      <c r="A58" s="17">
        <v>45826</v>
      </c>
      <c r="B58" s="8" t="s">
        <v>98</v>
      </c>
      <c r="C58" t="s">
        <v>150</v>
      </c>
      <c r="D58" s="18">
        <v>12</v>
      </c>
      <c r="E58" s="14">
        <v>1</v>
      </c>
      <c r="F58" s="14"/>
      <c r="G58" s="14"/>
      <c r="H58" s="14"/>
      <c r="I58" s="19" t="s">
        <v>70</v>
      </c>
      <c r="J58" s="19" t="s">
        <v>71</v>
      </c>
    </row>
    <row r="59" spans="1:10" ht="12.75" customHeight="1" x14ac:dyDescent="0.2">
      <c r="A59" s="17">
        <v>45827</v>
      </c>
      <c r="B59" s="8" t="s">
        <v>102</v>
      </c>
      <c r="C59" t="s">
        <v>152</v>
      </c>
      <c r="D59" s="18"/>
      <c r="E59" s="14">
        <v>2</v>
      </c>
      <c r="F59" s="14"/>
      <c r="G59" s="14"/>
      <c r="H59" s="14"/>
      <c r="I59" s="19" t="s">
        <v>72</v>
      </c>
      <c r="J59" s="19" t="s">
        <v>73</v>
      </c>
    </row>
    <row r="60" spans="1:10" ht="12.75" customHeight="1" x14ac:dyDescent="0.2">
      <c r="A60" s="17">
        <v>45828</v>
      </c>
      <c r="B60" s="8" t="s">
        <v>103</v>
      </c>
      <c r="C60" t="s">
        <v>151</v>
      </c>
      <c r="D60" s="18"/>
      <c r="E60" s="14"/>
      <c r="F60" s="14"/>
      <c r="G60" s="14"/>
      <c r="H60" s="14"/>
      <c r="I60" s="19" t="s">
        <v>74</v>
      </c>
      <c r="J60" s="19" t="s">
        <v>75</v>
      </c>
    </row>
    <row r="61" spans="1:10" ht="12.75" customHeight="1" x14ac:dyDescent="0.2">
      <c r="A61" s="17">
        <v>45828</v>
      </c>
      <c r="B61" s="8" t="s">
        <v>104</v>
      </c>
      <c r="C61" t="s">
        <v>153</v>
      </c>
      <c r="D61" s="18"/>
      <c r="E61" s="14">
        <v>1</v>
      </c>
      <c r="F61" s="14"/>
      <c r="G61" s="14"/>
      <c r="H61" s="14"/>
      <c r="I61" s="19" t="s">
        <v>76</v>
      </c>
      <c r="J61" s="19" t="s">
        <v>77</v>
      </c>
    </row>
    <row r="62" spans="1:10" ht="12.75" customHeight="1" x14ac:dyDescent="0.2">
      <c r="A62" s="17">
        <v>45828</v>
      </c>
      <c r="B62" s="8" t="s">
        <v>105</v>
      </c>
      <c r="C62" t="s">
        <v>155</v>
      </c>
      <c r="D62" s="18"/>
      <c r="E62" s="14">
        <v>4</v>
      </c>
      <c r="F62" s="14"/>
      <c r="G62" s="14"/>
      <c r="H62" s="14"/>
      <c r="I62" s="19" t="s">
        <v>78</v>
      </c>
      <c r="J62" s="19" t="s">
        <v>79</v>
      </c>
    </row>
    <row r="63" spans="1:10" ht="12.75" customHeight="1" x14ac:dyDescent="0.2">
      <c r="A63" s="17">
        <v>45828</v>
      </c>
      <c r="B63" s="8" t="s">
        <v>106</v>
      </c>
      <c r="C63" t="s">
        <v>154</v>
      </c>
      <c r="D63" s="18"/>
      <c r="E63" s="14">
        <v>1</v>
      </c>
      <c r="F63" s="14"/>
      <c r="G63" s="14"/>
      <c r="H63" s="14"/>
      <c r="I63" s="19" t="s">
        <v>80</v>
      </c>
      <c r="J63" s="19" t="s">
        <v>81</v>
      </c>
    </row>
    <row r="64" spans="1:10" ht="12.75" customHeight="1" x14ac:dyDescent="0.2">
      <c r="A64" s="17">
        <v>45829</v>
      </c>
      <c r="B64" s="8" t="s">
        <v>107</v>
      </c>
      <c r="C64" t="s">
        <v>156</v>
      </c>
      <c r="D64" s="18"/>
      <c r="E64" s="14">
        <v>1</v>
      </c>
      <c r="F64" s="14">
        <v>1</v>
      </c>
      <c r="G64" s="14"/>
      <c r="H64" s="14"/>
      <c r="I64" s="19" t="s">
        <v>82</v>
      </c>
      <c r="J64" s="19" t="s">
        <v>83</v>
      </c>
    </row>
    <row r="65" spans="1:10" ht="12.75" customHeight="1" x14ac:dyDescent="0.2">
      <c r="A65" s="17">
        <v>45830</v>
      </c>
      <c r="B65" s="8" t="s">
        <v>108</v>
      </c>
      <c r="C65" t="s">
        <v>157</v>
      </c>
      <c r="D65" s="18"/>
      <c r="E65" s="14">
        <v>5</v>
      </c>
      <c r="F65" s="14"/>
      <c r="G65" s="14"/>
      <c r="H65" s="14"/>
      <c r="I65" s="19" t="s">
        <v>84</v>
      </c>
      <c r="J65" s="19" t="s">
        <v>85</v>
      </c>
    </row>
    <row r="66" spans="1:10" ht="12.75" customHeight="1" x14ac:dyDescent="0.2">
      <c r="A66" s="17">
        <v>45831</v>
      </c>
      <c r="B66" s="8" t="s">
        <v>109</v>
      </c>
      <c r="C66" t="s">
        <v>158</v>
      </c>
      <c r="D66" s="18"/>
      <c r="E66" s="14">
        <v>1</v>
      </c>
      <c r="F66" s="14"/>
      <c r="G66" s="14"/>
      <c r="H66" s="14"/>
      <c r="I66" s="19" t="s">
        <v>86</v>
      </c>
      <c r="J66" s="19" t="s">
        <v>87</v>
      </c>
    </row>
    <row r="67" spans="1:10" ht="12.75" customHeight="1" x14ac:dyDescent="0.2">
      <c r="A67" s="17">
        <v>45831</v>
      </c>
      <c r="B67" s="8" t="s">
        <v>110</v>
      </c>
      <c r="C67" t="s">
        <v>159</v>
      </c>
      <c r="D67" s="18"/>
      <c r="E67" s="14">
        <v>1</v>
      </c>
      <c r="F67" s="14"/>
      <c r="G67" s="14"/>
      <c r="H67" s="14" t="s">
        <v>12</v>
      </c>
      <c r="I67" s="19" t="s">
        <v>88</v>
      </c>
      <c r="J67" s="19" t="s">
        <v>89</v>
      </c>
    </row>
    <row r="68" spans="1:10" ht="12.75" customHeight="1" x14ac:dyDescent="0.2">
      <c r="A68" s="17">
        <v>45832</v>
      </c>
      <c r="B68" s="8" t="s">
        <v>111</v>
      </c>
      <c r="C68" t="s">
        <v>160</v>
      </c>
      <c r="D68" s="18"/>
      <c r="E68" s="14">
        <v>1</v>
      </c>
      <c r="F68" s="14"/>
      <c r="G68" s="14"/>
      <c r="H68" s="14"/>
      <c r="I68" s="19" t="s">
        <v>90</v>
      </c>
      <c r="J68" s="19" t="s">
        <v>91</v>
      </c>
    </row>
    <row r="69" spans="1:10" ht="12.75" customHeight="1" x14ac:dyDescent="0.2">
      <c r="A69" s="17">
        <v>45832</v>
      </c>
      <c r="B69" s="8" t="s">
        <v>112</v>
      </c>
      <c r="C69" t="s">
        <v>161</v>
      </c>
      <c r="D69" s="18"/>
      <c r="E69" s="14">
        <v>1</v>
      </c>
      <c r="F69" s="14" t="s">
        <v>12</v>
      </c>
      <c r="G69" s="14"/>
      <c r="H69" s="14" t="s">
        <v>12</v>
      </c>
      <c r="I69" s="19" t="s">
        <v>92</v>
      </c>
      <c r="J69" s="19" t="s">
        <v>93</v>
      </c>
    </row>
    <row r="70" spans="1:10" ht="12.75" customHeight="1" x14ac:dyDescent="0.2">
      <c r="A70" s="17">
        <v>45834</v>
      </c>
      <c r="B70" s="8" t="s">
        <v>113</v>
      </c>
      <c r="C70" t="s">
        <v>162</v>
      </c>
      <c r="D70" s="18"/>
      <c r="E70" s="14">
        <v>1</v>
      </c>
      <c r="F70" s="14"/>
      <c r="G70" s="14"/>
      <c r="H70" s="14"/>
      <c r="I70" s="19" t="s">
        <v>94</v>
      </c>
      <c r="J70" s="19" t="s">
        <v>95</v>
      </c>
    </row>
    <row r="71" spans="1:10" ht="12.75" customHeight="1" x14ac:dyDescent="0.2">
      <c r="A71" s="17">
        <v>45835</v>
      </c>
      <c r="B71" s="8" t="s">
        <v>114</v>
      </c>
      <c r="C71" t="s">
        <v>146</v>
      </c>
      <c r="D71" s="18"/>
      <c r="E71" s="14">
        <v>1</v>
      </c>
      <c r="F71" s="14"/>
      <c r="G71" s="14"/>
      <c r="H71" s="14"/>
      <c r="I71" s="19" t="s">
        <v>96</v>
      </c>
      <c r="J71" s="19" t="s">
        <v>97</v>
      </c>
    </row>
    <row r="72" spans="1:10" ht="12.75" customHeight="1" x14ac:dyDescent="0.2">
      <c r="A72" s="16">
        <v>45845</v>
      </c>
      <c r="B72" s="8" t="s">
        <v>163</v>
      </c>
      <c r="C72" s="8" t="s">
        <v>181</v>
      </c>
      <c r="D72" s="14">
        <v>45</v>
      </c>
      <c r="E72" s="14">
        <v>1</v>
      </c>
      <c r="F72" s="14"/>
      <c r="G72" s="14"/>
      <c r="H72" s="14"/>
      <c r="I72" s="20">
        <v>0.75277777777777777</v>
      </c>
      <c r="J72" s="20">
        <v>0.82708333333333328</v>
      </c>
    </row>
    <row r="73" spans="1:10" ht="12.75" customHeight="1" x14ac:dyDescent="0.2">
      <c r="A73" s="16">
        <v>45845</v>
      </c>
      <c r="B73" s="8" t="s">
        <v>164</v>
      </c>
      <c r="C73" s="8" t="s">
        <v>182</v>
      </c>
      <c r="D73" s="14"/>
      <c r="E73" s="14">
        <v>1</v>
      </c>
      <c r="F73" s="14"/>
      <c r="G73" s="14"/>
      <c r="H73" s="14"/>
      <c r="I73" s="20">
        <v>0.71111111111111114</v>
      </c>
      <c r="J73" s="20">
        <v>0.71944444444444444</v>
      </c>
    </row>
    <row r="74" spans="1:10" ht="12.75" customHeight="1" x14ac:dyDescent="0.2">
      <c r="A74" s="16">
        <v>45846</v>
      </c>
      <c r="B74" s="8" t="s">
        <v>165</v>
      </c>
      <c r="C74" s="8" t="s">
        <v>183</v>
      </c>
      <c r="D74" s="14"/>
      <c r="E74" s="14"/>
      <c r="F74" s="14"/>
      <c r="G74" s="14"/>
      <c r="H74" s="14"/>
      <c r="I74" s="20">
        <v>0.44583333333333336</v>
      </c>
      <c r="J74" s="20">
        <v>0.55000000000000004</v>
      </c>
    </row>
    <row r="75" spans="1:10" ht="12.75" customHeight="1" x14ac:dyDescent="0.2">
      <c r="A75" s="16">
        <v>45846</v>
      </c>
      <c r="B75" s="8" t="s">
        <v>166</v>
      </c>
      <c r="C75" s="8" t="s">
        <v>184</v>
      </c>
      <c r="D75" s="14">
        <v>20</v>
      </c>
      <c r="E75" s="14">
        <v>1</v>
      </c>
      <c r="F75" s="14"/>
      <c r="G75" s="14"/>
      <c r="H75" s="14"/>
      <c r="I75" s="20">
        <v>0.72499999999999998</v>
      </c>
      <c r="J75" s="20">
        <v>0.75208333333333333</v>
      </c>
    </row>
    <row r="76" spans="1:10" ht="12.75" customHeight="1" x14ac:dyDescent="0.2">
      <c r="A76" s="16">
        <v>45847</v>
      </c>
      <c r="B76" s="8" t="s">
        <v>167</v>
      </c>
      <c r="C76" s="8" t="s">
        <v>185</v>
      </c>
      <c r="D76" s="14"/>
      <c r="E76" s="14">
        <v>1</v>
      </c>
      <c r="F76" s="14" t="s">
        <v>199</v>
      </c>
      <c r="G76" s="14"/>
      <c r="H76" s="14"/>
      <c r="I76" s="20">
        <v>0.65208333333333335</v>
      </c>
      <c r="J76" s="20">
        <v>0.67291666666666672</v>
      </c>
    </row>
    <row r="77" spans="1:10" ht="12.75" customHeight="1" x14ac:dyDescent="0.2">
      <c r="A77" s="16">
        <v>45847</v>
      </c>
      <c r="B77" s="8" t="s">
        <v>168</v>
      </c>
      <c r="C77" s="8" t="s">
        <v>186</v>
      </c>
      <c r="D77" s="14">
        <v>25</v>
      </c>
      <c r="E77" s="14">
        <v>1</v>
      </c>
      <c r="F77" s="14"/>
      <c r="G77" s="14"/>
      <c r="H77" s="14"/>
      <c r="I77" s="20">
        <v>0.68958333333333333</v>
      </c>
      <c r="J77" s="20">
        <v>0.7</v>
      </c>
    </row>
    <row r="78" spans="1:10" ht="12.75" customHeight="1" x14ac:dyDescent="0.2">
      <c r="A78" s="16">
        <v>45849</v>
      </c>
      <c r="B78" s="8" t="s">
        <v>169</v>
      </c>
      <c r="C78" s="8" t="s">
        <v>187</v>
      </c>
      <c r="D78" s="14"/>
      <c r="E78" s="14">
        <v>1</v>
      </c>
      <c r="F78" s="14"/>
      <c r="G78" s="14"/>
      <c r="H78" s="14" t="s">
        <v>12</v>
      </c>
      <c r="I78" s="20">
        <v>0.79305555555555551</v>
      </c>
      <c r="J78" s="20">
        <v>0.85347222222222219</v>
      </c>
    </row>
    <row r="79" spans="1:10" ht="12.75" customHeight="1" x14ac:dyDescent="0.2">
      <c r="A79" s="16">
        <v>45850</v>
      </c>
      <c r="B79" s="8" t="s">
        <v>170</v>
      </c>
      <c r="C79" s="8" t="s">
        <v>188</v>
      </c>
      <c r="D79" s="14"/>
      <c r="E79" s="14">
        <v>1</v>
      </c>
      <c r="F79" s="14"/>
      <c r="G79" s="14"/>
      <c r="H79" s="14"/>
      <c r="I79" s="20">
        <v>0.69236111111111109</v>
      </c>
      <c r="J79" s="20">
        <v>0.69722222222222219</v>
      </c>
    </row>
    <row r="80" spans="1:10" ht="12.75" customHeight="1" x14ac:dyDescent="0.2">
      <c r="A80" s="16">
        <v>45851</v>
      </c>
      <c r="B80" s="8" t="s">
        <v>171</v>
      </c>
      <c r="C80" s="8" t="s">
        <v>189</v>
      </c>
      <c r="D80" s="14"/>
      <c r="E80" s="14">
        <v>1</v>
      </c>
      <c r="F80" s="14"/>
      <c r="G80" s="14"/>
      <c r="H80" s="14"/>
      <c r="I80" s="20">
        <v>9.8611111111111108E-2</v>
      </c>
      <c r="J80" s="20">
        <v>0.10972222222222222</v>
      </c>
    </row>
    <row r="81" spans="1:10" ht="12.75" customHeight="1" x14ac:dyDescent="0.2">
      <c r="A81" s="16">
        <v>45851</v>
      </c>
      <c r="B81" s="8" t="s">
        <v>172</v>
      </c>
      <c r="C81" s="8" t="s">
        <v>190</v>
      </c>
      <c r="D81" s="14"/>
      <c r="E81" s="14">
        <v>1</v>
      </c>
      <c r="F81" s="14"/>
      <c r="G81" s="14"/>
      <c r="H81" s="14"/>
      <c r="I81" s="20">
        <v>0.29444444444444445</v>
      </c>
      <c r="J81" s="20">
        <v>0.30486111111111114</v>
      </c>
    </row>
    <row r="82" spans="1:10" ht="12.75" customHeight="1" x14ac:dyDescent="0.2">
      <c r="A82" s="16">
        <v>45854</v>
      </c>
      <c r="B82" s="8" t="s">
        <v>173</v>
      </c>
      <c r="C82" s="8" t="s">
        <v>191</v>
      </c>
      <c r="D82" s="14"/>
      <c r="E82" s="14">
        <v>1</v>
      </c>
      <c r="F82" s="14"/>
      <c r="G82" s="14" t="s">
        <v>12</v>
      </c>
      <c r="H82" s="14"/>
      <c r="I82" s="20">
        <v>0.77152777777777781</v>
      </c>
      <c r="J82" s="20">
        <v>0.81527777777777777</v>
      </c>
    </row>
    <row r="83" spans="1:10" ht="12.75" customHeight="1" x14ac:dyDescent="0.2">
      <c r="A83" s="16">
        <v>45857</v>
      </c>
      <c r="B83" s="8" t="s">
        <v>174</v>
      </c>
      <c r="C83" s="8" t="s">
        <v>192</v>
      </c>
      <c r="D83" s="14"/>
      <c r="E83" s="14">
        <v>5</v>
      </c>
      <c r="F83" s="14"/>
      <c r="G83" s="14"/>
      <c r="H83" s="14"/>
      <c r="I83" s="20">
        <v>0.72222222222222221</v>
      </c>
      <c r="J83" s="20">
        <v>0.73611111111111116</v>
      </c>
    </row>
    <row r="84" spans="1:10" ht="12.75" customHeight="1" x14ac:dyDescent="0.2">
      <c r="A84" s="16">
        <v>45857</v>
      </c>
      <c r="B84" s="8" t="s">
        <v>175</v>
      </c>
      <c r="C84" s="8" t="s">
        <v>193</v>
      </c>
      <c r="D84" s="14"/>
      <c r="E84" s="14">
        <v>1</v>
      </c>
      <c r="F84" s="14"/>
      <c r="G84" s="14"/>
      <c r="H84" s="14"/>
      <c r="I84" s="20">
        <v>0.86250000000000004</v>
      </c>
      <c r="J84" s="20">
        <v>0.86597222222222225</v>
      </c>
    </row>
    <row r="85" spans="1:10" ht="12.75" customHeight="1" x14ac:dyDescent="0.2">
      <c r="A85" s="16">
        <v>45857</v>
      </c>
      <c r="B85" s="8" t="s">
        <v>176</v>
      </c>
      <c r="C85" s="8" t="s">
        <v>194</v>
      </c>
      <c r="D85" s="14"/>
      <c r="E85" s="14">
        <v>1</v>
      </c>
      <c r="F85" s="14"/>
      <c r="G85" s="14"/>
      <c r="H85" s="14"/>
      <c r="I85" s="20">
        <v>0.96388888888888891</v>
      </c>
      <c r="J85" s="20">
        <v>0.96666666666666667</v>
      </c>
    </row>
    <row r="86" spans="1:10" ht="12.75" customHeight="1" x14ac:dyDescent="0.2">
      <c r="A86" s="16">
        <v>45857</v>
      </c>
      <c r="B86" s="8" t="s">
        <v>177</v>
      </c>
      <c r="C86" s="8" t="s">
        <v>195</v>
      </c>
      <c r="D86" s="14"/>
      <c r="E86" s="14">
        <v>1</v>
      </c>
      <c r="F86" s="14"/>
      <c r="G86" s="14" t="s">
        <v>12</v>
      </c>
      <c r="H86" s="14"/>
      <c r="I86" s="20">
        <v>0.26180555555555557</v>
      </c>
      <c r="J86" s="20">
        <v>0.27847222222222223</v>
      </c>
    </row>
    <row r="87" spans="1:10" ht="12.75" customHeight="1" x14ac:dyDescent="0.2">
      <c r="A87" s="16">
        <v>45859</v>
      </c>
      <c r="B87" s="8" t="s">
        <v>178</v>
      </c>
      <c r="C87" s="8" t="s">
        <v>196</v>
      </c>
      <c r="D87" s="14"/>
      <c r="E87" s="14">
        <v>1</v>
      </c>
      <c r="F87" s="14"/>
      <c r="G87" s="14"/>
      <c r="H87" s="14"/>
      <c r="I87" s="20">
        <v>0.56388888888888888</v>
      </c>
      <c r="J87" s="20">
        <v>0.56874999999999998</v>
      </c>
    </row>
    <row r="88" spans="1:10" ht="12.75" customHeight="1" x14ac:dyDescent="0.2">
      <c r="A88" s="16">
        <v>45861</v>
      </c>
      <c r="B88" s="8" t="s">
        <v>179</v>
      </c>
      <c r="C88" s="8" t="s">
        <v>197</v>
      </c>
      <c r="D88" s="14"/>
      <c r="E88" s="14">
        <v>1</v>
      </c>
      <c r="F88" s="14"/>
      <c r="G88" s="14"/>
      <c r="H88" s="14"/>
      <c r="I88" s="20">
        <v>0.41666666666666669</v>
      </c>
      <c r="J88" s="20">
        <v>0.42083333333333334</v>
      </c>
    </row>
    <row r="89" spans="1:10" ht="12.75" customHeight="1" x14ac:dyDescent="0.2">
      <c r="A89" s="16">
        <v>45863</v>
      </c>
      <c r="B89" s="8" t="s">
        <v>180</v>
      </c>
      <c r="C89" s="8" t="s">
        <v>198</v>
      </c>
      <c r="D89" s="14"/>
      <c r="E89" s="14">
        <v>3</v>
      </c>
      <c r="F89" s="14"/>
      <c r="G89" s="14"/>
      <c r="H89" s="14"/>
      <c r="I89" s="9">
        <v>0.36388888888888887</v>
      </c>
      <c r="J89" s="9">
        <v>0.44722222222222224</v>
      </c>
    </row>
    <row r="90" spans="1:10" ht="12.75" customHeight="1" x14ac:dyDescent="0.2">
      <c r="A90" s="21">
        <v>45870</v>
      </c>
      <c r="B90" s="3" t="s">
        <v>10</v>
      </c>
      <c r="C90" s="8" t="s">
        <v>11</v>
      </c>
      <c r="D90" s="14">
        <v>10</v>
      </c>
      <c r="E90" s="14">
        <v>1</v>
      </c>
      <c r="F90" s="14"/>
      <c r="G90" s="14" t="s">
        <v>12</v>
      </c>
      <c r="H90" s="14"/>
      <c r="I90" s="9">
        <v>0.33194444444444443</v>
      </c>
      <c r="J90" s="9">
        <v>0.4375</v>
      </c>
    </row>
    <row r="91" spans="1:10" ht="12.75" customHeight="1" x14ac:dyDescent="0.2">
      <c r="A91" s="21">
        <v>45870</v>
      </c>
      <c r="B91" s="3" t="s">
        <v>13</v>
      </c>
      <c r="C91" s="12" t="s">
        <v>14</v>
      </c>
      <c r="D91" s="14"/>
      <c r="E91" s="14">
        <v>1</v>
      </c>
      <c r="F91" s="14"/>
      <c r="G91" s="14"/>
      <c r="H91" s="14"/>
      <c r="I91" s="9">
        <v>0.58958333333333335</v>
      </c>
      <c r="J91" s="9">
        <v>0.60555555555555551</v>
      </c>
    </row>
    <row r="92" spans="1:10" ht="12.75" customHeight="1" x14ac:dyDescent="0.2">
      <c r="A92" s="21">
        <v>45871</v>
      </c>
      <c r="B92" s="3" t="s">
        <v>15</v>
      </c>
      <c r="C92" s="8" t="s">
        <v>16</v>
      </c>
      <c r="D92" s="14"/>
      <c r="E92" s="14">
        <v>1</v>
      </c>
      <c r="F92" s="14"/>
      <c r="G92" s="14"/>
      <c r="H92" s="14"/>
      <c r="I92" s="9">
        <v>0.26666666666666666</v>
      </c>
      <c r="J92" s="9">
        <v>0.27013888888888887</v>
      </c>
    </row>
    <row r="93" spans="1:10" ht="12.75" customHeight="1" x14ac:dyDescent="0.2">
      <c r="A93" s="21">
        <v>45875</v>
      </c>
      <c r="B93" s="3" t="s">
        <v>17</v>
      </c>
      <c r="C93" s="8" t="s">
        <v>18</v>
      </c>
      <c r="D93" s="14"/>
      <c r="E93" s="14">
        <v>1</v>
      </c>
      <c r="F93" s="14"/>
      <c r="G93" s="14" t="s">
        <v>12</v>
      </c>
      <c r="H93" s="14"/>
      <c r="I93" s="9">
        <v>0.38750000000000001</v>
      </c>
      <c r="J93" s="9">
        <v>0.40277777777777779</v>
      </c>
    </row>
    <row r="94" spans="1:10" ht="12.75" customHeight="1" x14ac:dyDescent="0.2">
      <c r="A94" s="21">
        <v>45875</v>
      </c>
      <c r="B94" s="3" t="s">
        <v>19</v>
      </c>
      <c r="C94" s="8" t="s">
        <v>20</v>
      </c>
      <c r="D94" s="14"/>
      <c r="E94" s="14">
        <v>1</v>
      </c>
      <c r="F94" s="14"/>
      <c r="G94" s="14"/>
      <c r="H94" s="14"/>
      <c r="I94" s="9">
        <v>0.6430555555555556</v>
      </c>
      <c r="J94" s="9">
        <v>0.64513888888888893</v>
      </c>
    </row>
    <row r="95" spans="1:10" ht="12.75" customHeight="1" x14ac:dyDescent="0.2">
      <c r="A95" s="21">
        <v>45876</v>
      </c>
      <c r="B95" s="3" t="s">
        <v>21</v>
      </c>
      <c r="C95" s="8" t="s">
        <v>22</v>
      </c>
      <c r="D95" s="14"/>
      <c r="E95" s="14">
        <v>1</v>
      </c>
      <c r="F95" s="14"/>
      <c r="G95" s="14"/>
      <c r="H95" s="14"/>
      <c r="I95" s="9">
        <v>0.61597222222222225</v>
      </c>
      <c r="J95" s="9">
        <v>0.63680555555555551</v>
      </c>
    </row>
    <row r="96" spans="1:10" ht="12.75" customHeight="1" x14ac:dyDescent="0.2">
      <c r="A96" s="21">
        <v>45879</v>
      </c>
      <c r="B96" s="3" t="s">
        <v>23</v>
      </c>
      <c r="C96" s="8" t="s">
        <v>24</v>
      </c>
      <c r="D96" s="14">
        <v>25</v>
      </c>
      <c r="E96" s="14">
        <v>1</v>
      </c>
      <c r="F96" s="14"/>
      <c r="G96" s="14"/>
      <c r="H96" s="14"/>
      <c r="I96" s="9">
        <v>0.95694444444444449</v>
      </c>
      <c r="J96" s="9">
        <v>0.97916666666666663</v>
      </c>
    </row>
    <row r="97" spans="1:10" ht="12.75" customHeight="1" x14ac:dyDescent="0.2">
      <c r="A97" s="21">
        <v>45880</v>
      </c>
      <c r="B97" s="3" t="s">
        <v>25</v>
      </c>
      <c r="C97" s="8" t="s">
        <v>271</v>
      </c>
      <c r="D97" s="14"/>
      <c r="E97" s="14">
        <v>1</v>
      </c>
      <c r="F97" s="14"/>
      <c r="G97" s="14"/>
      <c r="H97" s="14"/>
      <c r="I97" s="9">
        <v>2.7777777777777776E-2</v>
      </c>
      <c r="J97" s="9">
        <v>3.7499999999999999E-2</v>
      </c>
    </row>
    <row r="98" spans="1:10" ht="12.75" customHeight="1" x14ac:dyDescent="0.2">
      <c r="A98" s="21">
        <v>45880</v>
      </c>
      <c r="B98" s="3" t="s">
        <v>26</v>
      </c>
      <c r="C98" s="8" t="s">
        <v>27</v>
      </c>
      <c r="D98" s="14"/>
      <c r="E98" s="14">
        <v>1</v>
      </c>
      <c r="F98" s="14"/>
      <c r="G98" s="14"/>
      <c r="H98" s="14"/>
      <c r="I98" s="9">
        <v>0.54652777777777772</v>
      </c>
      <c r="J98" s="9">
        <v>0.54791666666666672</v>
      </c>
    </row>
    <row r="99" spans="1:10" ht="12.75" customHeight="1" x14ac:dyDescent="0.2">
      <c r="A99" s="21">
        <v>45880</v>
      </c>
      <c r="B99" s="3" t="s">
        <v>28</v>
      </c>
      <c r="C99" s="8" t="s">
        <v>29</v>
      </c>
      <c r="D99" s="14"/>
      <c r="E99" s="14">
        <v>1</v>
      </c>
      <c r="F99" s="14"/>
      <c r="G99" s="14"/>
      <c r="H99" s="14"/>
      <c r="I99" s="9">
        <v>0.63263888888888886</v>
      </c>
      <c r="J99" s="9">
        <v>0.72916666666666663</v>
      </c>
    </row>
    <row r="100" spans="1:10" ht="12.75" customHeight="1" x14ac:dyDescent="0.2">
      <c r="A100" s="21">
        <v>45882</v>
      </c>
      <c r="B100" s="3" t="s">
        <v>30</v>
      </c>
      <c r="C100" s="8" t="s">
        <v>31</v>
      </c>
      <c r="D100" s="14">
        <v>20</v>
      </c>
      <c r="E100" s="14">
        <v>1</v>
      </c>
      <c r="F100" s="14"/>
      <c r="G100" s="14"/>
      <c r="H100" s="14"/>
      <c r="I100" s="9">
        <v>0.12916666666666668</v>
      </c>
      <c r="J100" s="9">
        <v>0.17222222222222222</v>
      </c>
    </row>
    <row r="101" spans="1:10" ht="12.75" customHeight="1" x14ac:dyDescent="0.2">
      <c r="A101" s="21">
        <v>45882</v>
      </c>
      <c r="B101" s="3" t="s">
        <v>32</v>
      </c>
      <c r="C101" s="8" t="s">
        <v>33</v>
      </c>
      <c r="D101" s="14">
        <v>5</v>
      </c>
      <c r="E101" s="14">
        <v>1</v>
      </c>
      <c r="F101" s="14"/>
      <c r="G101" s="14"/>
      <c r="H101" s="14"/>
      <c r="I101" s="9">
        <v>0.67152777777777772</v>
      </c>
      <c r="J101" s="9">
        <v>0.70347222222222228</v>
      </c>
    </row>
    <row r="102" spans="1:10" ht="12.75" customHeight="1" x14ac:dyDescent="0.2">
      <c r="A102" s="21">
        <v>45882</v>
      </c>
      <c r="B102" s="3" t="s">
        <v>34</v>
      </c>
      <c r="C102" s="8" t="s">
        <v>35</v>
      </c>
      <c r="D102" s="14"/>
      <c r="E102" s="14">
        <v>1</v>
      </c>
      <c r="F102" s="14"/>
      <c r="G102" s="14"/>
      <c r="H102" s="14"/>
      <c r="I102" s="9">
        <v>0.80138888888888893</v>
      </c>
      <c r="J102" s="9">
        <v>0.81041666666666667</v>
      </c>
    </row>
    <row r="103" spans="1:10" ht="12.75" customHeight="1" x14ac:dyDescent="0.2">
      <c r="A103" s="21">
        <v>45884</v>
      </c>
      <c r="B103" s="3" t="s">
        <v>36</v>
      </c>
      <c r="C103" s="12" t="s">
        <v>37</v>
      </c>
      <c r="D103" s="14"/>
      <c r="E103" s="14">
        <v>1</v>
      </c>
      <c r="F103" s="14"/>
      <c r="G103" s="14"/>
      <c r="H103" s="14"/>
      <c r="I103" s="8"/>
      <c r="J103" s="8"/>
    </row>
    <row r="104" spans="1:10" ht="12.75" customHeight="1" x14ac:dyDescent="0.2">
      <c r="A104" s="21">
        <v>45884</v>
      </c>
      <c r="B104" s="3" t="s">
        <v>38</v>
      </c>
      <c r="C104" s="8" t="s">
        <v>39</v>
      </c>
      <c r="D104" s="14">
        <v>14</v>
      </c>
      <c r="E104" s="14">
        <v>1</v>
      </c>
      <c r="F104" s="14"/>
      <c r="G104" s="14"/>
      <c r="H104" s="14"/>
      <c r="I104" s="9">
        <v>0.57013888888888886</v>
      </c>
      <c r="J104" s="9">
        <v>0.57499999999999996</v>
      </c>
    </row>
    <row r="105" spans="1:10" ht="12.75" customHeight="1" x14ac:dyDescent="0.2">
      <c r="A105" s="21">
        <v>45885</v>
      </c>
      <c r="B105" s="3" t="s">
        <v>40</v>
      </c>
      <c r="C105" s="8" t="s">
        <v>41</v>
      </c>
      <c r="D105" s="14">
        <v>40</v>
      </c>
      <c r="E105" s="14">
        <v>1</v>
      </c>
      <c r="F105" s="14"/>
      <c r="G105" s="14"/>
      <c r="H105" s="14"/>
      <c r="I105" s="9">
        <v>0.24583333333333332</v>
      </c>
      <c r="J105" s="9">
        <v>0.28958333333333336</v>
      </c>
    </row>
    <row r="106" spans="1:10" ht="12.75" customHeight="1" x14ac:dyDescent="0.2">
      <c r="A106" s="21">
        <v>45887</v>
      </c>
      <c r="B106" s="3" t="s">
        <v>42</v>
      </c>
      <c r="C106" s="8" t="s">
        <v>43</v>
      </c>
      <c r="D106" s="14"/>
      <c r="E106" s="14">
        <v>1</v>
      </c>
      <c r="F106" s="14"/>
      <c r="G106" s="14"/>
      <c r="H106" s="14"/>
      <c r="I106" s="9">
        <v>0.4826388888888889</v>
      </c>
      <c r="J106" s="9">
        <v>0.48402777777777778</v>
      </c>
    </row>
    <row r="107" spans="1:10" ht="12.75" customHeight="1" x14ac:dyDescent="0.2">
      <c r="A107" s="21">
        <v>45888</v>
      </c>
      <c r="B107" s="3" t="s">
        <v>44</v>
      </c>
      <c r="C107" s="8" t="s">
        <v>45</v>
      </c>
      <c r="D107" s="14"/>
      <c r="E107" s="14">
        <v>1</v>
      </c>
      <c r="F107" s="14"/>
      <c r="G107" s="14" t="s">
        <v>12</v>
      </c>
      <c r="H107" s="14"/>
      <c r="I107" s="9">
        <v>0.46388888888888891</v>
      </c>
      <c r="J107" s="9">
        <v>0.46458333333333335</v>
      </c>
    </row>
    <row r="108" spans="1:10" ht="12.75" customHeight="1" x14ac:dyDescent="0.2">
      <c r="A108" s="21">
        <v>45888</v>
      </c>
      <c r="B108" s="3" t="s">
        <v>46</v>
      </c>
      <c r="C108" s="8" t="s">
        <v>47</v>
      </c>
      <c r="D108" s="14"/>
      <c r="E108" s="14">
        <v>1</v>
      </c>
      <c r="F108" s="14"/>
      <c r="G108" s="14"/>
      <c r="H108" s="14"/>
      <c r="I108" s="9">
        <v>0.5854166666666667</v>
      </c>
      <c r="J108" s="9">
        <v>0.59027777777777779</v>
      </c>
    </row>
    <row r="109" spans="1:10" ht="12.75" customHeight="1" x14ac:dyDescent="0.2">
      <c r="A109" s="21">
        <v>45890</v>
      </c>
      <c r="B109" s="3" t="s">
        <v>48</v>
      </c>
      <c r="C109" s="8" t="s">
        <v>49</v>
      </c>
      <c r="D109" s="14"/>
      <c r="E109" s="14">
        <v>1</v>
      </c>
      <c r="F109" s="14"/>
      <c r="G109" s="14"/>
      <c r="H109" s="14"/>
      <c r="I109" s="9">
        <v>0.57013888888888886</v>
      </c>
      <c r="J109" s="9">
        <v>0.58194444444444449</v>
      </c>
    </row>
    <row r="110" spans="1:10" ht="12.75" customHeight="1" x14ac:dyDescent="0.2">
      <c r="A110" s="21">
        <v>45892</v>
      </c>
      <c r="B110" s="3" t="s">
        <v>50</v>
      </c>
      <c r="C110" s="8" t="s">
        <v>51</v>
      </c>
      <c r="D110" s="14">
        <v>15</v>
      </c>
      <c r="E110" s="14">
        <v>1</v>
      </c>
      <c r="F110" s="14"/>
      <c r="G110" s="14"/>
      <c r="H110" s="14"/>
      <c r="I110" s="9">
        <v>0.54374999999999996</v>
      </c>
      <c r="J110" s="9">
        <v>0.57499999999999996</v>
      </c>
    </row>
    <row r="111" spans="1:10" ht="12.75" customHeight="1" x14ac:dyDescent="0.2">
      <c r="A111" s="21">
        <v>45893</v>
      </c>
      <c r="B111" s="3" t="s">
        <v>52</v>
      </c>
      <c r="C111" s="8" t="s">
        <v>53</v>
      </c>
      <c r="D111" s="14"/>
      <c r="E111" s="14">
        <v>1</v>
      </c>
      <c r="F111" s="14"/>
      <c r="G111" s="14"/>
      <c r="H111" s="14"/>
      <c r="I111" s="9">
        <v>0.37152777777777779</v>
      </c>
      <c r="J111" s="9">
        <v>0.37222222222222223</v>
      </c>
    </row>
    <row r="112" spans="1:10" ht="12.75" customHeight="1" x14ac:dyDescent="0.2">
      <c r="A112" s="21">
        <v>45893</v>
      </c>
      <c r="B112" s="3" t="s">
        <v>54</v>
      </c>
      <c r="C112" s="8" t="s">
        <v>55</v>
      </c>
      <c r="D112" s="14"/>
      <c r="E112" s="14">
        <v>1</v>
      </c>
      <c r="F112" s="14"/>
      <c r="G112" s="14"/>
      <c r="H112" s="14" t="s">
        <v>12</v>
      </c>
      <c r="I112" s="9">
        <v>0.62083333333333335</v>
      </c>
      <c r="J112" s="9">
        <v>0.62291666666666667</v>
      </c>
    </row>
    <row r="113" spans="1:10" ht="12.75" customHeight="1" x14ac:dyDescent="0.2">
      <c r="A113" s="5">
        <v>45896</v>
      </c>
      <c r="B113" s="6" t="s">
        <v>56</v>
      </c>
      <c r="C113" s="8" t="s">
        <v>57</v>
      </c>
      <c r="D113" s="14">
        <v>12</v>
      </c>
      <c r="E113" s="14">
        <v>1</v>
      </c>
      <c r="F113" s="14"/>
      <c r="G113" s="14"/>
      <c r="H113" s="14"/>
      <c r="I113" s="9">
        <v>0.88263888888888886</v>
      </c>
      <c r="J113" s="9">
        <v>0.91874999999999996</v>
      </c>
    </row>
    <row r="114" spans="1:10" ht="12.75" customHeight="1" x14ac:dyDescent="0.2">
      <c r="A114" s="5">
        <v>45897</v>
      </c>
      <c r="B114" s="6" t="s">
        <v>58</v>
      </c>
      <c r="C114" s="8" t="s">
        <v>59</v>
      </c>
      <c r="D114" s="14"/>
      <c r="E114" s="14">
        <v>1</v>
      </c>
      <c r="F114" s="14"/>
      <c r="G114" s="14"/>
      <c r="H114" s="14"/>
      <c r="I114" s="9">
        <v>0.63194444444444442</v>
      </c>
      <c r="J114" s="9">
        <v>0.63958333333333328</v>
      </c>
    </row>
    <row r="115" spans="1:10" ht="12.75" customHeight="1" x14ac:dyDescent="0.2">
      <c r="A115" s="5">
        <v>45900</v>
      </c>
      <c r="B115" s="6" t="s">
        <v>60</v>
      </c>
      <c r="C115" s="8" t="s">
        <v>61</v>
      </c>
      <c r="D115" s="14"/>
      <c r="E115" s="14">
        <v>1</v>
      </c>
      <c r="F115" s="14"/>
      <c r="G115" s="14"/>
      <c r="H115" s="14"/>
      <c r="I115" s="9">
        <v>0.46041666666666664</v>
      </c>
      <c r="J115" s="9">
        <v>0.50486111111111109</v>
      </c>
    </row>
    <row r="116" spans="1:10" ht="12.75" customHeight="1" x14ac:dyDescent="0.2">
      <c r="A116" s="7">
        <v>45911</v>
      </c>
      <c r="B116" s="8" t="s">
        <v>254</v>
      </c>
      <c r="C116" s="8" t="s">
        <v>255</v>
      </c>
      <c r="D116" s="14"/>
      <c r="E116" s="14">
        <v>1</v>
      </c>
      <c r="F116" s="14"/>
      <c r="G116" s="14"/>
      <c r="H116" s="14"/>
      <c r="I116" s="20">
        <v>0.67013888888888884</v>
      </c>
      <c r="J116" s="20">
        <v>0.67291666666666672</v>
      </c>
    </row>
    <row r="117" spans="1:10" ht="12.75" customHeight="1" x14ac:dyDescent="0.2">
      <c r="A117" s="7">
        <v>45916</v>
      </c>
      <c r="B117" s="8" t="s">
        <v>256</v>
      </c>
      <c r="C117" s="8" t="s">
        <v>260</v>
      </c>
      <c r="D117" s="14"/>
      <c r="E117" s="14">
        <v>2</v>
      </c>
      <c r="F117" s="14"/>
      <c r="G117" s="14"/>
      <c r="H117" s="14"/>
      <c r="I117" s="20">
        <v>0.40694444444444444</v>
      </c>
      <c r="J117" s="20">
        <v>0.48055555555555557</v>
      </c>
    </row>
    <row r="118" spans="1:10" ht="12.75" customHeight="1" x14ac:dyDescent="0.2">
      <c r="A118" s="7">
        <v>45918</v>
      </c>
      <c r="B118" s="8" t="s">
        <v>248</v>
      </c>
      <c r="C118" s="8" t="s">
        <v>261</v>
      </c>
      <c r="D118" s="14"/>
      <c r="E118" s="14">
        <v>1</v>
      </c>
      <c r="F118" s="14"/>
      <c r="G118" s="14"/>
      <c r="H118" s="14"/>
      <c r="I118" s="20">
        <v>0.70347222222222228</v>
      </c>
      <c r="J118" s="20">
        <v>0.75416666666666665</v>
      </c>
    </row>
    <row r="119" spans="1:10" ht="12.75" customHeight="1" x14ac:dyDescent="0.2">
      <c r="A119" s="7">
        <v>45918</v>
      </c>
      <c r="B119" s="8" t="s">
        <v>257</v>
      </c>
      <c r="C119" s="8" t="s">
        <v>262</v>
      </c>
      <c r="D119" s="14">
        <v>16</v>
      </c>
      <c r="E119" s="14">
        <v>1</v>
      </c>
      <c r="F119" s="14" t="s">
        <v>270</v>
      </c>
      <c r="G119" s="14"/>
      <c r="H119" s="14"/>
      <c r="I119" s="20">
        <v>0.99305555555555558</v>
      </c>
      <c r="J119" s="20">
        <v>4.3055555555555555E-2</v>
      </c>
    </row>
    <row r="120" spans="1:10" ht="12.75" customHeight="1" x14ac:dyDescent="0.2">
      <c r="A120" s="7">
        <v>45919</v>
      </c>
      <c r="B120" s="8" t="s">
        <v>249</v>
      </c>
      <c r="C120" s="8" t="s">
        <v>263</v>
      </c>
      <c r="D120" s="14"/>
      <c r="E120" s="14">
        <v>3</v>
      </c>
      <c r="F120" s="14"/>
      <c r="G120" s="14"/>
      <c r="H120" s="14"/>
      <c r="I120" s="20">
        <v>0.45694444444444443</v>
      </c>
      <c r="J120" s="20">
        <v>0.66874999999999996</v>
      </c>
    </row>
    <row r="121" spans="1:10" ht="12.75" customHeight="1" x14ac:dyDescent="0.2">
      <c r="A121" s="7">
        <v>45920</v>
      </c>
      <c r="B121" s="8" t="s">
        <v>250</v>
      </c>
      <c r="C121" s="8" t="s">
        <v>264</v>
      </c>
      <c r="D121" s="14"/>
      <c r="E121" s="14">
        <v>1</v>
      </c>
      <c r="F121" s="14"/>
      <c r="G121" s="14"/>
      <c r="H121" s="14"/>
      <c r="I121" s="20">
        <v>0.94097222222222221</v>
      </c>
      <c r="J121" s="20">
        <v>0.94930555555555551</v>
      </c>
    </row>
    <row r="122" spans="1:10" ht="12.75" customHeight="1" x14ac:dyDescent="0.2">
      <c r="A122" s="7">
        <v>45921</v>
      </c>
      <c r="B122" s="8" t="s">
        <v>251</v>
      </c>
      <c r="C122" s="8" t="s">
        <v>265</v>
      </c>
      <c r="D122" s="14">
        <v>14</v>
      </c>
      <c r="E122" s="14">
        <v>1</v>
      </c>
      <c r="F122" s="14"/>
      <c r="G122" s="14"/>
      <c r="H122" s="14"/>
      <c r="I122" s="20">
        <v>0.76111111111111107</v>
      </c>
      <c r="J122" s="20">
        <v>0.76875000000000004</v>
      </c>
    </row>
    <row r="123" spans="1:10" ht="12.75" customHeight="1" x14ac:dyDescent="0.2">
      <c r="A123" s="7">
        <v>45923</v>
      </c>
      <c r="B123" s="8" t="s">
        <v>252</v>
      </c>
      <c r="C123" s="8" t="s">
        <v>266</v>
      </c>
      <c r="D123" s="14"/>
      <c r="E123" s="14">
        <v>1</v>
      </c>
      <c r="F123" s="14"/>
      <c r="G123" s="14"/>
      <c r="H123" s="14"/>
      <c r="I123" s="20">
        <v>0.61875000000000002</v>
      </c>
      <c r="J123" s="20">
        <v>0.65138888888888891</v>
      </c>
    </row>
    <row r="124" spans="1:10" ht="12.75" customHeight="1" x14ac:dyDescent="0.2">
      <c r="A124" s="7">
        <v>45923</v>
      </c>
      <c r="B124" s="8" t="s">
        <v>258</v>
      </c>
      <c r="C124" s="8" t="s">
        <v>267</v>
      </c>
      <c r="D124" s="14">
        <v>30</v>
      </c>
      <c r="E124" s="14">
        <v>1</v>
      </c>
      <c r="F124" s="14"/>
      <c r="G124" s="14"/>
      <c r="H124" s="14"/>
      <c r="I124" s="20">
        <v>0.73333333333333328</v>
      </c>
      <c r="J124" s="20">
        <v>0.74583333333333335</v>
      </c>
    </row>
    <row r="125" spans="1:10" ht="12.75" customHeight="1" x14ac:dyDescent="0.2">
      <c r="A125" s="7">
        <v>45924</v>
      </c>
      <c r="B125" s="8" t="s">
        <v>253</v>
      </c>
      <c r="C125" s="8" t="s">
        <v>268</v>
      </c>
      <c r="D125" s="14"/>
      <c r="E125" s="14">
        <v>1</v>
      </c>
      <c r="F125" s="14"/>
      <c r="G125" s="14"/>
      <c r="H125" s="14"/>
      <c r="I125" s="20">
        <v>0.3888888888888889</v>
      </c>
      <c r="J125" s="20">
        <v>0.43819444444444444</v>
      </c>
    </row>
    <row r="126" spans="1:10" ht="12.75" customHeight="1" x14ac:dyDescent="0.2">
      <c r="A126" s="7">
        <v>45930</v>
      </c>
      <c r="B126" s="8" t="s">
        <v>259</v>
      </c>
      <c r="C126" s="8" t="s">
        <v>269</v>
      </c>
      <c r="D126" s="14">
        <v>13</v>
      </c>
      <c r="E126" s="14">
        <v>1</v>
      </c>
      <c r="F126" s="14"/>
      <c r="G126" s="14"/>
      <c r="H126" s="14"/>
      <c r="I126" s="9">
        <v>0.99305555555555558</v>
      </c>
      <c r="J126" s="9">
        <v>1.8055555555555554E-2</v>
      </c>
    </row>
    <row r="127" spans="1:10" ht="12.75" customHeight="1" x14ac:dyDescent="0.2">
      <c r="A127" s="16">
        <v>45935</v>
      </c>
      <c r="B127" s="8" t="s">
        <v>301</v>
      </c>
      <c r="C127" s="8" t="s">
        <v>333</v>
      </c>
      <c r="D127" s="14"/>
      <c r="E127" s="14">
        <v>1</v>
      </c>
      <c r="F127" s="14"/>
      <c r="G127" s="14"/>
      <c r="H127" s="14"/>
      <c r="I127" s="20">
        <v>0.12430555555555556</v>
      </c>
      <c r="J127" s="20">
        <v>0.13819444444444445</v>
      </c>
    </row>
    <row r="128" spans="1:10" ht="12.75" customHeight="1" x14ac:dyDescent="0.2">
      <c r="A128" s="16">
        <v>45936</v>
      </c>
      <c r="B128" s="8" t="s">
        <v>272</v>
      </c>
      <c r="C128" s="8" t="s">
        <v>332</v>
      </c>
      <c r="D128" s="14"/>
      <c r="E128" s="14">
        <v>20</v>
      </c>
      <c r="F128" s="14"/>
      <c r="G128" s="14"/>
      <c r="H128" s="14"/>
      <c r="I128" s="20">
        <v>0.36180555555555555</v>
      </c>
      <c r="J128" s="20">
        <v>0.36319444444444443</v>
      </c>
    </row>
    <row r="129" spans="1:10" ht="12.75" customHeight="1" x14ac:dyDescent="0.2">
      <c r="A129" s="16">
        <v>45936</v>
      </c>
      <c r="B129" s="8" t="s">
        <v>273</v>
      </c>
      <c r="C129" s="15" t="s">
        <v>331</v>
      </c>
      <c r="D129" s="14"/>
      <c r="E129" s="14">
        <v>1</v>
      </c>
      <c r="F129" s="14"/>
      <c r="G129" s="14"/>
      <c r="H129" s="14"/>
      <c r="I129" s="20">
        <v>0.79722222222222228</v>
      </c>
      <c r="J129" s="20">
        <v>0.81874999999999998</v>
      </c>
    </row>
    <row r="130" spans="1:10" ht="12.75" customHeight="1" x14ac:dyDescent="0.2">
      <c r="A130" s="16">
        <v>45937</v>
      </c>
      <c r="B130" s="8" t="s">
        <v>274</v>
      </c>
      <c r="C130" s="8" t="s">
        <v>330</v>
      </c>
      <c r="D130" s="14">
        <v>3</v>
      </c>
      <c r="E130" s="14">
        <v>2</v>
      </c>
      <c r="F130" s="14"/>
      <c r="G130" s="14"/>
      <c r="H130" s="14"/>
      <c r="I130" s="20">
        <v>0.58750000000000002</v>
      </c>
      <c r="J130" s="20">
        <v>0.67361111111111116</v>
      </c>
    </row>
    <row r="131" spans="1:10" ht="12.75" customHeight="1" x14ac:dyDescent="0.2">
      <c r="A131" s="16">
        <v>45938</v>
      </c>
      <c r="B131" s="8" t="s">
        <v>302</v>
      </c>
      <c r="C131" s="8" t="s">
        <v>329</v>
      </c>
      <c r="D131" s="14"/>
      <c r="E131" s="14">
        <v>6</v>
      </c>
      <c r="F131" s="14"/>
      <c r="G131" s="14"/>
      <c r="H131" s="14"/>
      <c r="I131" s="20">
        <v>0.57986111111111116</v>
      </c>
      <c r="J131" s="20">
        <v>0.62916666666666665</v>
      </c>
    </row>
    <row r="132" spans="1:10" ht="12.75" customHeight="1" x14ac:dyDescent="0.2">
      <c r="A132" s="16">
        <v>45945</v>
      </c>
      <c r="B132" s="8" t="s">
        <v>275</v>
      </c>
      <c r="C132" s="8" t="s">
        <v>328</v>
      </c>
      <c r="D132" s="14">
        <v>20</v>
      </c>
      <c r="E132" s="14">
        <v>1</v>
      </c>
      <c r="F132" s="14"/>
      <c r="G132" s="14"/>
      <c r="H132" s="14"/>
      <c r="I132" s="20">
        <v>0.41736111111111113</v>
      </c>
      <c r="J132" s="20">
        <v>0.42222222222222222</v>
      </c>
    </row>
    <row r="133" spans="1:10" ht="12.75" customHeight="1" x14ac:dyDescent="0.2">
      <c r="A133" s="16">
        <v>45945</v>
      </c>
      <c r="B133" s="8" t="s">
        <v>276</v>
      </c>
      <c r="C133" s="8" t="s">
        <v>327</v>
      </c>
      <c r="D133" s="14">
        <v>1</v>
      </c>
      <c r="E133" s="14">
        <v>1</v>
      </c>
      <c r="F133" s="14"/>
      <c r="G133" s="14"/>
      <c r="H133" s="14"/>
      <c r="I133" s="20">
        <v>0.67777777777777781</v>
      </c>
      <c r="J133" s="20">
        <v>0.7680555555555556</v>
      </c>
    </row>
    <row r="134" spans="1:10" ht="12.75" customHeight="1" x14ac:dyDescent="0.2">
      <c r="A134" s="16">
        <v>45945</v>
      </c>
      <c r="B134" s="8" t="s">
        <v>277</v>
      </c>
      <c r="C134" s="8" t="s">
        <v>326</v>
      </c>
      <c r="D134" s="14"/>
      <c r="E134" s="14"/>
      <c r="F134" s="14"/>
      <c r="G134" s="14"/>
      <c r="H134" s="14"/>
      <c r="I134" s="20"/>
      <c r="J134" s="20"/>
    </row>
    <row r="135" spans="1:10" ht="12.75" customHeight="1" x14ac:dyDescent="0.2">
      <c r="A135" s="16">
        <v>45945</v>
      </c>
      <c r="B135" s="8" t="s">
        <v>278</v>
      </c>
      <c r="C135" s="8" t="s">
        <v>325</v>
      </c>
      <c r="D135" s="14"/>
      <c r="E135" s="14">
        <v>2</v>
      </c>
      <c r="F135" s="14"/>
      <c r="G135" s="14"/>
      <c r="H135" s="14"/>
      <c r="I135" s="20">
        <v>0.73472222222222228</v>
      </c>
      <c r="J135" s="20">
        <v>0.90277777777777779</v>
      </c>
    </row>
    <row r="136" spans="1:10" ht="12.75" customHeight="1" x14ac:dyDescent="0.2">
      <c r="A136" s="16">
        <v>45945</v>
      </c>
      <c r="B136" s="8" t="s">
        <v>279</v>
      </c>
      <c r="C136" s="8" t="s">
        <v>324</v>
      </c>
      <c r="D136" s="14"/>
      <c r="E136" s="14"/>
      <c r="F136" s="14"/>
      <c r="G136" s="14"/>
      <c r="H136" s="14"/>
      <c r="I136" s="20">
        <v>0.19513888888888889</v>
      </c>
      <c r="J136" s="20">
        <v>0.28194444444444444</v>
      </c>
    </row>
    <row r="137" spans="1:10" ht="12.75" customHeight="1" x14ac:dyDescent="0.2">
      <c r="A137" s="16">
        <v>45946</v>
      </c>
      <c r="B137" s="8" t="s">
        <v>280</v>
      </c>
      <c r="C137" s="8" t="s">
        <v>323</v>
      </c>
      <c r="D137" s="14"/>
      <c r="E137" s="14">
        <v>1</v>
      </c>
      <c r="F137" s="14"/>
      <c r="G137" s="14"/>
      <c r="H137" s="14"/>
      <c r="I137" s="20"/>
      <c r="J137" s="20"/>
    </row>
    <row r="138" spans="1:10" ht="12.75" customHeight="1" x14ac:dyDescent="0.2">
      <c r="A138" s="16">
        <v>45947</v>
      </c>
      <c r="B138" s="8" t="s">
        <v>281</v>
      </c>
      <c r="C138" s="8" t="s">
        <v>322</v>
      </c>
      <c r="D138" s="14"/>
      <c r="E138" s="14">
        <v>1</v>
      </c>
      <c r="F138" s="14"/>
      <c r="G138" s="14"/>
      <c r="H138" s="14"/>
      <c r="I138" s="20">
        <v>0.74305555555555558</v>
      </c>
      <c r="J138" s="20">
        <v>0.77916666666666667</v>
      </c>
    </row>
    <row r="139" spans="1:10" ht="12.75" customHeight="1" x14ac:dyDescent="0.2">
      <c r="A139" s="16">
        <v>45950</v>
      </c>
      <c r="B139" s="8" t="s">
        <v>282</v>
      </c>
      <c r="C139" s="8" t="s">
        <v>321</v>
      </c>
      <c r="D139" s="14"/>
      <c r="E139" s="14">
        <v>1</v>
      </c>
      <c r="F139" s="14"/>
      <c r="G139" s="14"/>
      <c r="H139" s="14"/>
      <c r="I139" s="20">
        <v>0.68402777777777779</v>
      </c>
      <c r="J139" s="20">
        <v>0.73958333333333337</v>
      </c>
    </row>
    <row r="140" spans="1:10" ht="12.75" customHeight="1" x14ac:dyDescent="0.2">
      <c r="A140" s="16">
        <v>45950</v>
      </c>
      <c r="B140" s="8" t="s">
        <v>283</v>
      </c>
      <c r="C140" s="8" t="s">
        <v>320</v>
      </c>
      <c r="D140" s="14"/>
      <c r="E140" s="14">
        <v>1</v>
      </c>
      <c r="F140" s="14"/>
      <c r="G140" s="14"/>
      <c r="H140" s="14"/>
      <c r="I140" s="20"/>
      <c r="J140" s="20"/>
    </row>
    <row r="141" spans="1:10" ht="12.75" customHeight="1" x14ac:dyDescent="0.2">
      <c r="A141" s="16">
        <v>45951</v>
      </c>
      <c r="B141" s="8" t="s">
        <v>284</v>
      </c>
      <c r="C141" s="8" t="s">
        <v>319</v>
      </c>
      <c r="D141" s="14"/>
      <c r="E141" s="14">
        <v>3</v>
      </c>
      <c r="F141" s="14"/>
      <c r="G141" s="14"/>
      <c r="H141" s="14"/>
      <c r="I141" s="20">
        <v>0.84097222222222223</v>
      </c>
      <c r="J141" s="20">
        <v>0.87291666666666667</v>
      </c>
    </row>
    <row r="142" spans="1:10" ht="12.75" customHeight="1" x14ac:dyDescent="0.2">
      <c r="A142" s="16">
        <v>45952</v>
      </c>
      <c r="B142" s="8" t="s">
        <v>285</v>
      </c>
      <c r="C142" s="8" t="s">
        <v>318</v>
      </c>
      <c r="D142" s="14"/>
      <c r="E142" s="14">
        <v>1</v>
      </c>
      <c r="F142" s="14"/>
      <c r="G142" s="14"/>
      <c r="H142" s="14"/>
      <c r="I142" s="20"/>
      <c r="J142" s="20"/>
    </row>
    <row r="143" spans="1:10" ht="12.75" customHeight="1" x14ac:dyDescent="0.2">
      <c r="A143" s="16">
        <v>45953</v>
      </c>
      <c r="B143" s="8" t="s">
        <v>286</v>
      </c>
      <c r="C143" s="8" t="s">
        <v>317</v>
      </c>
      <c r="D143" s="14"/>
      <c r="E143" s="14">
        <v>2</v>
      </c>
      <c r="F143" s="14"/>
      <c r="G143" s="14"/>
      <c r="H143" s="14"/>
      <c r="I143" s="20">
        <v>0.41597222222222224</v>
      </c>
      <c r="J143" s="20">
        <v>0.42430555555555555</v>
      </c>
    </row>
    <row r="144" spans="1:10" ht="12.75" customHeight="1" x14ac:dyDescent="0.2">
      <c r="A144" s="16">
        <v>45953</v>
      </c>
      <c r="B144" s="8" t="s">
        <v>287</v>
      </c>
      <c r="C144" s="8" t="s">
        <v>316</v>
      </c>
      <c r="D144" s="14"/>
      <c r="E144" s="14">
        <v>1</v>
      </c>
      <c r="F144" s="14"/>
      <c r="G144" s="14"/>
      <c r="H144" s="14"/>
      <c r="I144" s="20">
        <v>0.42986111111111114</v>
      </c>
      <c r="J144" s="20">
        <v>0.46666666666666667</v>
      </c>
    </row>
    <row r="145" spans="1:10" ht="12.75" customHeight="1" x14ac:dyDescent="0.2">
      <c r="A145" s="16">
        <v>45953</v>
      </c>
      <c r="B145" s="8" t="s">
        <v>288</v>
      </c>
      <c r="C145" s="8" t="s">
        <v>315</v>
      </c>
      <c r="D145" s="14"/>
      <c r="E145" s="14">
        <v>60</v>
      </c>
      <c r="F145" s="14"/>
      <c r="G145" s="14"/>
      <c r="H145" s="14"/>
      <c r="I145" s="20">
        <v>0.98402777777777772</v>
      </c>
      <c r="J145" s="20">
        <v>0.10625</v>
      </c>
    </row>
    <row r="146" spans="1:10" ht="12.75" customHeight="1" x14ac:dyDescent="0.2">
      <c r="A146" s="16">
        <v>45954</v>
      </c>
      <c r="B146" s="8" t="s">
        <v>289</v>
      </c>
      <c r="C146" s="8" t="s">
        <v>314</v>
      </c>
      <c r="D146" s="14"/>
      <c r="E146" s="14">
        <v>1</v>
      </c>
      <c r="F146" s="14"/>
      <c r="G146" s="14"/>
      <c r="H146" s="14"/>
      <c r="I146" s="20">
        <v>0.95972222222222225</v>
      </c>
      <c r="J146" s="20">
        <v>0.96111111111111114</v>
      </c>
    </row>
    <row r="147" spans="1:10" ht="12.75" customHeight="1" x14ac:dyDescent="0.2">
      <c r="A147" s="16">
        <v>45956</v>
      </c>
      <c r="B147" s="8" t="s">
        <v>290</v>
      </c>
      <c r="C147" s="8" t="s">
        <v>313</v>
      </c>
      <c r="D147" s="14"/>
      <c r="E147" s="14">
        <v>1</v>
      </c>
      <c r="F147" s="14"/>
      <c r="G147" s="14"/>
      <c r="H147" s="14"/>
      <c r="I147" s="20">
        <v>0.76597222222222228</v>
      </c>
      <c r="J147" s="20">
        <v>0.77986111111111112</v>
      </c>
    </row>
    <row r="148" spans="1:10" ht="12.75" customHeight="1" x14ac:dyDescent="0.2">
      <c r="A148" s="16">
        <v>45956</v>
      </c>
      <c r="B148" s="8" t="s">
        <v>291</v>
      </c>
      <c r="C148" s="8" t="s">
        <v>312</v>
      </c>
      <c r="D148" s="14"/>
      <c r="E148" s="14">
        <v>1</v>
      </c>
      <c r="F148" s="14"/>
      <c r="G148" s="14"/>
      <c r="H148" s="14"/>
      <c r="I148" s="20">
        <v>0.80555555555555558</v>
      </c>
      <c r="J148" s="20">
        <v>0.84444444444444444</v>
      </c>
    </row>
    <row r="149" spans="1:10" ht="12.75" customHeight="1" x14ac:dyDescent="0.2">
      <c r="A149" s="16">
        <v>45957</v>
      </c>
      <c r="B149" s="8" t="s">
        <v>292</v>
      </c>
      <c r="C149" s="8" t="s">
        <v>311</v>
      </c>
      <c r="D149" s="14"/>
      <c r="E149" s="14">
        <v>2</v>
      </c>
      <c r="F149" s="14"/>
      <c r="G149" s="14"/>
      <c r="H149" s="14"/>
      <c r="I149" s="20">
        <v>0.35069444444444442</v>
      </c>
      <c r="J149" s="11">
        <v>0.44791666666666669</v>
      </c>
    </row>
    <row r="150" spans="1:10" ht="12.75" customHeight="1" x14ac:dyDescent="0.2">
      <c r="A150" s="16">
        <v>45957</v>
      </c>
      <c r="B150" s="8" t="s">
        <v>293</v>
      </c>
      <c r="C150" s="8" t="s">
        <v>310</v>
      </c>
      <c r="D150" s="14">
        <v>13</v>
      </c>
      <c r="E150" s="14">
        <v>1</v>
      </c>
      <c r="F150" s="14"/>
      <c r="G150" s="14"/>
      <c r="H150" s="14"/>
      <c r="I150" s="20">
        <v>0.43055555555555558</v>
      </c>
      <c r="J150" s="20">
        <v>0.48333333333333334</v>
      </c>
    </row>
    <row r="151" spans="1:10" ht="12.75" customHeight="1" x14ac:dyDescent="0.2">
      <c r="A151" s="16">
        <v>45957</v>
      </c>
      <c r="B151" s="8" t="s">
        <v>294</v>
      </c>
      <c r="C151" s="8" t="s">
        <v>309</v>
      </c>
      <c r="D151" s="14">
        <v>5</v>
      </c>
      <c r="E151" s="14">
        <v>1</v>
      </c>
      <c r="F151" s="14"/>
      <c r="G151" s="14"/>
      <c r="H151" s="14"/>
      <c r="I151" s="20">
        <v>0.86875000000000002</v>
      </c>
      <c r="J151" s="20">
        <v>0.87638888888888888</v>
      </c>
    </row>
    <row r="152" spans="1:10" ht="12.75" customHeight="1" x14ac:dyDescent="0.2">
      <c r="A152" s="16">
        <v>45959</v>
      </c>
      <c r="B152" s="8" t="s">
        <v>295</v>
      </c>
      <c r="C152" s="8" t="s">
        <v>308</v>
      </c>
      <c r="D152" s="14"/>
      <c r="E152" s="14">
        <v>1</v>
      </c>
      <c r="F152" s="14"/>
      <c r="G152" s="14"/>
      <c r="H152" s="14"/>
      <c r="I152" s="20">
        <v>0.69861111111111107</v>
      </c>
      <c r="J152" s="20">
        <v>0.70277777777777772</v>
      </c>
    </row>
    <row r="153" spans="1:10" ht="12.75" customHeight="1" x14ac:dyDescent="0.2">
      <c r="A153" s="16">
        <v>45959</v>
      </c>
      <c r="B153" s="8" t="s">
        <v>296</v>
      </c>
      <c r="C153" s="8" t="s">
        <v>307</v>
      </c>
      <c r="D153" s="14"/>
      <c r="E153" s="14">
        <v>20</v>
      </c>
      <c r="F153" s="14"/>
      <c r="G153" s="14"/>
      <c r="H153" s="14"/>
      <c r="I153" s="20">
        <v>0.97986111111111107</v>
      </c>
      <c r="J153" s="20">
        <v>0.98402777777777772</v>
      </c>
    </row>
    <row r="154" spans="1:10" ht="12.75" customHeight="1" x14ac:dyDescent="0.2">
      <c r="A154" s="16">
        <v>45960</v>
      </c>
      <c r="B154" s="8" t="s">
        <v>297</v>
      </c>
      <c r="C154" s="8" t="s">
        <v>306</v>
      </c>
      <c r="D154" s="14">
        <v>18</v>
      </c>
      <c r="E154" s="14">
        <v>1</v>
      </c>
      <c r="F154" s="14"/>
      <c r="G154" s="14"/>
      <c r="H154" s="14"/>
      <c r="I154" s="20">
        <v>0.56944444444444442</v>
      </c>
      <c r="J154" s="20">
        <v>0.59444444444444444</v>
      </c>
    </row>
    <row r="155" spans="1:10" ht="12.75" customHeight="1" x14ac:dyDescent="0.2">
      <c r="A155" s="16">
        <v>45961</v>
      </c>
      <c r="B155" s="8" t="s">
        <v>298</v>
      </c>
      <c r="C155" s="8" t="s">
        <v>305</v>
      </c>
      <c r="D155" s="14"/>
      <c r="E155" s="14">
        <v>1</v>
      </c>
      <c r="F155" s="14"/>
      <c r="G155" s="14"/>
      <c r="H155" s="14"/>
      <c r="I155" s="20">
        <v>0.5131944444444444</v>
      </c>
      <c r="J155" s="20">
        <v>0.52916666666666667</v>
      </c>
    </row>
    <row r="156" spans="1:10" ht="12.75" customHeight="1" x14ac:dyDescent="0.2">
      <c r="A156" s="16">
        <v>45961</v>
      </c>
      <c r="B156" s="8" t="s">
        <v>299</v>
      </c>
      <c r="C156" s="8" t="s">
        <v>304</v>
      </c>
      <c r="D156" s="14"/>
      <c r="E156" s="14"/>
      <c r="F156" s="14"/>
      <c r="G156" s="14"/>
      <c r="H156" s="14"/>
      <c r="I156" s="8"/>
      <c r="J156" s="8"/>
    </row>
    <row r="157" spans="1:10" ht="12.75" customHeight="1" x14ac:dyDescent="0.2">
      <c r="A157" s="16">
        <v>45961</v>
      </c>
      <c r="B157" s="8" t="s">
        <v>300</v>
      </c>
      <c r="C157" s="8" t="s">
        <v>303</v>
      </c>
      <c r="D157" s="14"/>
      <c r="E157" s="14">
        <v>1</v>
      </c>
      <c r="F157" s="14"/>
      <c r="G157" s="14"/>
      <c r="H157" s="14"/>
      <c r="I157" s="8"/>
      <c r="J157" s="8"/>
    </row>
  </sheetData>
  <autoFilter ref="A1:F1" xr:uid="{00000000-0009-0000-0000-000000000000}">
    <sortState xmlns:xlrd2="http://schemas.microsoft.com/office/spreadsheetml/2017/richdata2" ref="A2:F11">
      <sortCondition ref="E1"/>
    </sortState>
  </autoFilter>
  <sortState xmlns:xlrd2="http://schemas.microsoft.com/office/spreadsheetml/2017/richdata2" ref="A2:J157">
    <sortCondition ref="A2:A157"/>
  </sortState>
  <dataValidations count="5">
    <dataValidation type="list" allowBlank="1" showInputMessage="1" showErrorMessage="1" sqref="J28:J44" xr:uid="{00000000-0002-0000-0000-000000000000}">
      <formula1>"Y, N, Unknown"</formula1>
    </dataValidation>
    <dataValidation type="time" allowBlank="1" showInputMessage="1" showErrorMessage="1" sqref="I2:J27 I28:I44 I47:J91 I116:J1048576" xr:uid="{00000000-0002-0000-0000-000001000000}">
      <formula1>0</formula1>
      <formula2>0.999305555555556</formula2>
    </dataValidation>
    <dataValidation type="date" allowBlank="1" showInputMessage="1" showErrorMessage="1" sqref="A4:A24 A28:A44 A74:A118 A127:A1048576" xr:uid="{00000000-0002-0000-0000-000002000000}">
      <formula1>43831</formula1>
      <formula2>401769</formula2>
    </dataValidation>
    <dataValidation type="list" showInputMessage="1" showErrorMessage="1" sqref="G1:H1048576" xr:uid="{00000000-0002-0000-0000-000006000000}">
      <formula1>"Y, N"</formula1>
    </dataValidation>
    <dataValidation type="whole" operator="greaterThanOrEqual" allowBlank="1" showInputMessage="1" showErrorMessage="1" sqref="D1:E1048576" xr:uid="{00000000-0002-0000-0000-000004000000}">
      <formula1>0</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election activeCell="E3" sqref="E3"/>
    </sheetView>
  </sheetViews>
  <sheetFormatPr baseColWidth="10" defaultColWidth="8.83203125" defaultRowHeight="15" x14ac:dyDescent="0.2"/>
  <cols>
    <col min="1" max="1" width="89.5" customWidth="1"/>
  </cols>
  <sheetData>
    <row r="1" spans="1:1" x14ac:dyDescent="0.2">
      <c r="A1" t="s">
        <v>62</v>
      </c>
    </row>
    <row r="3" spans="1:1" ht="409.6" x14ac:dyDescent="0.2">
      <c r="A3" s="3" t="s">
        <v>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332FB-744B-2548-A831-811C0B681C3B}">
  <dimension ref="A1:N138"/>
  <sheetViews>
    <sheetView zoomScaleNormal="100" workbookViewId="0">
      <pane ySplit="1" topLeftCell="A75" activePane="bottomLeft" state="frozen"/>
      <selection pane="bottomLeft" sqref="A1:A1048576"/>
    </sheetView>
  </sheetViews>
  <sheetFormatPr baseColWidth="10" defaultColWidth="9.1640625" defaultRowHeight="12.75" customHeight="1" x14ac:dyDescent="0.2"/>
  <cols>
    <col min="1" max="1" width="14.6640625" style="1" customWidth="1"/>
    <col min="2" max="3" width="29.1640625" style="1" customWidth="1"/>
    <col min="4" max="4" width="46.6640625" style="8" customWidth="1"/>
    <col min="5" max="5" width="10.5" style="13" customWidth="1"/>
    <col min="6" max="6" width="10.5" style="32" customWidth="1"/>
    <col min="7" max="8" width="11.83203125" style="1" customWidth="1"/>
    <col min="9" max="9" width="11.83203125" style="8" customWidth="1"/>
    <col min="10" max="10" width="11.83203125" style="1" customWidth="1"/>
    <col min="11" max="11" width="12.5" style="1" customWidth="1"/>
    <col min="12" max="12" width="9.1640625" style="26" customWidth="1"/>
    <col min="13" max="16384" width="9.1640625" style="1"/>
  </cols>
  <sheetData>
    <row r="1" spans="1:14" s="2" customFormat="1" ht="64.5" customHeight="1" x14ac:dyDescent="0.2">
      <c r="A1" s="2" t="s">
        <v>0</v>
      </c>
      <c r="B1" s="2" t="s">
        <v>1</v>
      </c>
      <c r="D1" s="10" t="s">
        <v>2</v>
      </c>
      <c r="E1" s="2" t="s">
        <v>4</v>
      </c>
      <c r="F1" s="2" t="s">
        <v>351</v>
      </c>
      <c r="G1" s="2" t="s">
        <v>8</v>
      </c>
      <c r="H1" s="2" t="s">
        <v>348</v>
      </c>
      <c r="I1" s="10" t="s">
        <v>347</v>
      </c>
      <c r="J1" s="2" t="s">
        <v>9</v>
      </c>
      <c r="K1" s="2" t="s">
        <v>334</v>
      </c>
      <c r="L1" s="25" t="s">
        <v>349</v>
      </c>
      <c r="M1" s="2" t="s">
        <v>350</v>
      </c>
      <c r="N1" s="2" t="s">
        <v>352</v>
      </c>
    </row>
    <row r="2" spans="1:14" ht="12.75" customHeight="1" x14ac:dyDescent="0.2">
      <c r="A2" s="7">
        <v>45689</v>
      </c>
      <c r="B2" s="8" t="s">
        <v>118</v>
      </c>
      <c r="C2" s="8">
        <v>1</v>
      </c>
      <c r="D2" s="8" t="s">
        <v>119</v>
      </c>
      <c r="E2" s="14">
        <v>1</v>
      </c>
      <c r="F2" s="33">
        <v>1</v>
      </c>
      <c r="G2" s="27">
        <v>7.6388888888888886E-3</v>
      </c>
      <c r="H2" s="24">
        <v>0</v>
      </c>
      <c r="I2">
        <f>IF(H2&gt;0.88,6,IF(H2&gt;0.71,5,IF(H2&gt;0.54,4,IF(H2&gt;0.38,3,IF(H2&gt;0.21,2,1)))))</f>
        <v>1</v>
      </c>
      <c r="J2" s="9">
        <v>3.125E-2</v>
      </c>
      <c r="K2" s="4">
        <f t="shared" ref="K2:K31" si="0">J2-G2</f>
        <v>2.361111111111111E-2</v>
      </c>
      <c r="L2" s="26">
        <f>K2*1440</f>
        <v>34</v>
      </c>
      <c r="M2" s="31">
        <f>IF(L2&gt;20,1,0)</f>
        <v>1</v>
      </c>
      <c r="N2" s="31">
        <f>IF(L2&gt;40,1,0)</f>
        <v>0</v>
      </c>
    </row>
    <row r="3" spans="1:14" ht="12.75" customHeight="1" x14ac:dyDescent="0.2">
      <c r="A3" s="7">
        <v>45690</v>
      </c>
      <c r="B3" s="8" t="s">
        <v>120</v>
      </c>
      <c r="C3" s="8">
        <v>1</v>
      </c>
      <c r="D3" s="8" t="s">
        <v>121</v>
      </c>
      <c r="E3" s="14">
        <v>1</v>
      </c>
      <c r="F3" s="33">
        <v>1</v>
      </c>
      <c r="G3" s="27">
        <v>0.48194444444444445</v>
      </c>
      <c r="H3" s="24">
        <v>0.5</v>
      </c>
      <c r="I3">
        <f t="shared" ref="I3:I64" si="1">IF(H3&gt;0.88,6,IF(H3&gt;0.71,5,IF(H3&gt;0.54,4,IF(H3&gt;0.38,3,IF(H3&gt;0.21,2,1)))))</f>
        <v>3</v>
      </c>
      <c r="J3" s="9">
        <v>0.60416666666666663</v>
      </c>
      <c r="K3" s="4">
        <f t="shared" si="0"/>
        <v>0.12222222222222218</v>
      </c>
      <c r="L3" s="26">
        <f t="shared" ref="L3:L64" si="2">K3*1440</f>
        <v>175.99999999999994</v>
      </c>
      <c r="M3" s="31">
        <f t="shared" ref="M3:M66" si="3">IF(L3&gt;20,1,0)</f>
        <v>1</v>
      </c>
      <c r="N3" s="31">
        <f t="shared" ref="N3:N66" si="4">IF(L3&gt;40,1,0)</f>
        <v>1</v>
      </c>
    </row>
    <row r="4" spans="1:14" ht="12.75" customHeight="1" x14ac:dyDescent="0.2">
      <c r="A4" s="16">
        <v>45717</v>
      </c>
      <c r="B4" s="8" t="s">
        <v>200</v>
      </c>
      <c r="C4" s="8">
        <v>3</v>
      </c>
      <c r="D4" s="8" t="s">
        <v>224</v>
      </c>
      <c r="E4" s="14">
        <v>2</v>
      </c>
      <c r="F4" s="33">
        <v>2</v>
      </c>
      <c r="G4" s="28">
        <v>0.54861111111111116</v>
      </c>
      <c r="H4" s="24">
        <v>0.54166666666666663</v>
      </c>
      <c r="I4">
        <f t="shared" si="1"/>
        <v>4</v>
      </c>
      <c r="J4" s="11">
        <v>0.57013888888888886</v>
      </c>
      <c r="K4" s="4">
        <f t="shared" si="0"/>
        <v>2.1527777777777701E-2</v>
      </c>
      <c r="L4" s="26">
        <f t="shared" si="2"/>
        <v>30.99999999999989</v>
      </c>
      <c r="M4" s="31">
        <f t="shared" si="3"/>
        <v>1</v>
      </c>
      <c r="N4" s="31">
        <f t="shared" si="4"/>
        <v>0</v>
      </c>
    </row>
    <row r="5" spans="1:14" ht="12.75" customHeight="1" x14ac:dyDescent="0.2">
      <c r="A5" s="16">
        <v>45717</v>
      </c>
      <c r="B5" s="8" t="s">
        <v>201</v>
      </c>
      <c r="C5" s="8">
        <v>6</v>
      </c>
      <c r="D5" s="8" t="s">
        <v>225</v>
      </c>
      <c r="E5" s="14">
        <v>1</v>
      </c>
      <c r="F5" s="33">
        <v>1</v>
      </c>
      <c r="G5" s="28">
        <v>0.68055555555555558</v>
      </c>
      <c r="H5" s="24">
        <v>0.66666666666666663</v>
      </c>
      <c r="I5">
        <f t="shared" si="1"/>
        <v>4</v>
      </c>
      <c r="J5" s="11">
        <v>0.86944444444444446</v>
      </c>
      <c r="K5" s="4">
        <f t="shared" si="0"/>
        <v>0.18888888888888888</v>
      </c>
      <c r="L5" s="26">
        <f t="shared" si="2"/>
        <v>272</v>
      </c>
      <c r="M5" s="31">
        <f t="shared" si="3"/>
        <v>1</v>
      </c>
      <c r="N5" s="31">
        <f t="shared" si="4"/>
        <v>1</v>
      </c>
    </row>
    <row r="6" spans="1:14" ht="12.75" customHeight="1" x14ac:dyDescent="0.2">
      <c r="A6" s="16">
        <v>45718</v>
      </c>
      <c r="B6" s="8" t="s">
        <v>202</v>
      </c>
      <c r="C6" s="8">
        <v>7</v>
      </c>
      <c r="D6" s="8" t="s">
        <v>226</v>
      </c>
      <c r="E6" s="14">
        <v>1</v>
      </c>
      <c r="F6" s="33">
        <v>1</v>
      </c>
      <c r="G6" s="28">
        <v>0.6020833333333333</v>
      </c>
      <c r="H6" s="24">
        <v>0.58333333333333326</v>
      </c>
      <c r="I6">
        <f t="shared" si="1"/>
        <v>4</v>
      </c>
      <c r="J6" s="11">
        <v>0.61458333333333337</v>
      </c>
      <c r="K6" s="4">
        <f t="shared" si="0"/>
        <v>1.2500000000000067E-2</v>
      </c>
      <c r="L6" s="26">
        <f t="shared" si="2"/>
        <v>18.000000000000096</v>
      </c>
      <c r="M6" s="31">
        <f t="shared" si="3"/>
        <v>0</v>
      </c>
      <c r="N6" s="31">
        <f t="shared" si="4"/>
        <v>0</v>
      </c>
    </row>
    <row r="7" spans="1:14" ht="12.75" customHeight="1" x14ac:dyDescent="0.2">
      <c r="A7" s="16">
        <v>45721</v>
      </c>
      <c r="B7" s="8" t="s">
        <v>203</v>
      </c>
      <c r="C7" s="8">
        <v>7</v>
      </c>
      <c r="D7" s="8" t="s">
        <v>227</v>
      </c>
      <c r="E7" s="14">
        <v>1</v>
      </c>
      <c r="F7" s="33">
        <v>1</v>
      </c>
      <c r="G7" s="28">
        <v>0.25416666666666665</v>
      </c>
      <c r="H7" s="24">
        <v>0.25</v>
      </c>
      <c r="I7">
        <f t="shared" si="1"/>
        <v>2</v>
      </c>
      <c r="J7" s="11">
        <v>0.25763888888888886</v>
      </c>
      <c r="K7" s="4">
        <f t="shared" si="0"/>
        <v>3.4722222222222099E-3</v>
      </c>
      <c r="L7" s="26">
        <f t="shared" si="2"/>
        <v>4.9999999999999822</v>
      </c>
      <c r="M7" s="31">
        <f t="shared" si="3"/>
        <v>0</v>
      </c>
      <c r="N7" s="31">
        <f t="shared" si="4"/>
        <v>0</v>
      </c>
    </row>
    <row r="8" spans="1:14" ht="12.75" customHeight="1" x14ac:dyDescent="0.2">
      <c r="A8" s="16">
        <v>45722</v>
      </c>
      <c r="B8" s="8" t="s">
        <v>204</v>
      </c>
      <c r="C8" s="8">
        <v>7</v>
      </c>
      <c r="D8" s="8" t="s">
        <v>228</v>
      </c>
      <c r="E8" s="14">
        <v>1</v>
      </c>
      <c r="F8" s="33">
        <v>1</v>
      </c>
      <c r="G8" s="28">
        <v>0.2361111111111111</v>
      </c>
      <c r="H8" s="24">
        <v>0.25</v>
      </c>
      <c r="I8">
        <f t="shared" si="1"/>
        <v>2</v>
      </c>
      <c r="J8" s="11">
        <v>0.24236111111111111</v>
      </c>
      <c r="K8" s="4">
        <f t="shared" si="0"/>
        <v>6.2500000000000056E-3</v>
      </c>
      <c r="L8" s="26">
        <f t="shared" si="2"/>
        <v>9.0000000000000071</v>
      </c>
      <c r="M8" s="31">
        <f t="shared" si="3"/>
        <v>0</v>
      </c>
      <c r="N8" s="31">
        <f t="shared" si="4"/>
        <v>0</v>
      </c>
    </row>
    <row r="9" spans="1:14" ht="12.75" customHeight="1" x14ac:dyDescent="0.2">
      <c r="A9" s="16">
        <v>45723</v>
      </c>
      <c r="B9" s="8" t="s">
        <v>205</v>
      </c>
      <c r="C9" s="8">
        <v>4</v>
      </c>
      <c r="D9" s="8" t="s">
        <v>229</v>
      </c>
      <c r="E9" s="14">
        <v>1</v>
      </c>
      <c r="F9" s="33">
        <v>1</v>
      </c>
      <c r="G9" s="28">
        <v>0.26319444444444445</v>
      </c>
      <c r="H9" s="24">
        <v>0.25</v>
      </c>
      <c r="I9">
        <f t="shared" si="1"/>
        <v>2</v>
      </c>
      <c r="J9" s="11">
        <v>0.34236111111111112</v>
      </c>
      <c r="K9" s="4">
        <f t="shared" si="0"/>
        <v>7.9166666666666663E-2</v>
      </c>
      <c r="L9" s="26">
        <f t="shared" si="2"/>
        <v>114</v>
      </c>
      <c r="M9" s="31">
        <f t="shared" si="3"/>
        <v>1</v>
      </c>
      <c r="N9" s="31">
        <f t="shared" si="4"/>
        <v>1</v>
      </c>
    </row>
    <row r="10" spans="1:14" ht="12.75" customHeight="1" x14ac:dyDescent="0.2">
      <c r="A10" s="16">
        <v>45723</v>
      </c>
      <c r="B10" s="8" t="s">
        <v>206</v>
      </c>
      <c r="C10" s="8">
        <v>5</v>
      </c>
      <c r="D10" s="8" t="s">
        <v>230</v>
      </c>
      <c r="E10" s="14">
        <v>1</v>
      </c>
      <c r="F10" s="33">
        <v>1</v>
      </c>
      <c r="G10" s="28">
        <v>0.80069444444444449</v>
      </c>
      <c r="H10" s="24">
        <v>0.79166666666666663</v>
      </c>
      <c r="I10">
        <f t="shared" si="1"/>
        <v>5</v>
      </c>
      <c r="J10" s="11">
        <v>0.80486111111111114</v>
      </c>
      <c r="K10" s="4">
        <f t="shared" si="0"/>
        <v>4.1666666666666519E-3</v>
      </c>
      <c r="L10" s="26">
        <f t="shared" si="2"/>
        <v>5.9999999999999787</v>
      </c>
      <c r="M10" s="31">
        <f t="shared" si="3"/>
        <v>0</v>
      </c>
      <c r="N10" s="31">
        <f t="shared" si="4"/>
        <v>0</v>
      </c>
    </row>
    <row r="11" spans="1:14" ht="12.75" customHeight="1" x14ac:dyDescent="0.2">
      <c r="A11" s="16">
        <v>45725</v>
      </c>
      <c r="B11" s="8" t="s">
        <v>207</v>
      </c>
      <c r="C11" s="8">
        <v>8</v>
      </c>
      <c r="D11" s="8" t="s">
        <v>231</v>
      </c>
      <c r="E11" s="14">
        <v>1</v>
      </c>
      <c r="F11" s="33">
        <v>1</v>
      </c>
      <c r="G11" s="28">
        <v>0.46388888888888891</v>
      </c>
      <c r="H11" s="24">
        <v>0.45833333333333331</v>
      </c>
      <c r="I11">
        <f t="shared" si="1"/>
        <v>3</v>
      </c>
      <c r="J11" s="11">
        <v>0.46805555555555556</v>
      </c>
      <c r="K11" s="4">
        <f t="shared" si="0"/>
        <v>4.1666666666666519E-3</v>
      </c>
      <c r="L11" s="26">
        <f t="shared" si="2"/>
        <v>5.9999999999999787</v>
      </c>
      <c r="M11" s="31">
        <f t="shared" si="3"/>
        <v>0</v>
      </c>
      <c r="N11" s="31">
        <f t="shared" si="4"/>
        <v>0</v>
      </c>
    </row>
    <row r="12" spans="1:14" ht="12.75" customHeight="1" x14ac:dyDescent="0.2">
      <c r="A12" s="16">
        <v>45728</v>
      </c>
      <c r="B12" s="8" t="s">
        <v>209</v>
      </c>
      <c r="C12" s="8">
        <v>10</v>
      </c>
      <c r="D12" s="8" t="s">
        <v>233</v>
      </c>
      <c r="E12" s="14">
        <v>1</v>
      </c>
      <c r="F12" s="33">
        <v>1</v>
      </c>
      <c r="G12" s="28">
        <v>0.61944444444444446</v>
      </c>
      <c r="H12" s="24">
        <v>0.625</v>
      </c>
      <c r="I12">
        <f t="shared" si="1"/>
        <v>4</v>
      </c>
      <c r="J12" s="11">
        <v>0.63124999999999998</v>
      </c>
      <c r="K12" s="4">
        <f t="shared" si="0"/>
        <v>1.1805555555555514E-2</v>
      </c>
      <c r="L12" s="26">
        <f t="shared" si="2"/>
        <v>16.99999999999994</v>
      </c>
      <c r="M12" s="31">
        <f t="shared" si="3"/>
        <v>0</v>
      </c>
      <c r="N12" s="31">
        <f t="shared" si="4"/>
        <v>0</v>
      </c>
    </row>
    <row r="13" spans="1:14" ht="12.75" customHeight="1" x14ac:dyDescent="0.2">
      <c r="A13" s="16">
        <v>45730</v>
      </c>
      <c r="B13" s="8" t="s">
        <v>210</v>
      </c>
      <c r="C13" s="8">
        <v>9</v>
      </c>
      <c r="D13" s="8" t="s">
        <v>234</v>
      </c>
      <c r="E13" s="14">
        <v>1</v>
      </c>
      <c r="F13" s="33">
        <v>1</v>
      </c>
      <c r="G13" s="28">
        <v>0.53263888888888888</v>
      </c>
      <c r="H13" s="24">
        <v>0.54166666666666663</v>
      </c>
      <c r="I13">
        <f t="shared" si="1"/>
        <v>4</v>
      </c>
      <c r="J13" s="11">
        <v>0.55208333333333337</v>
      </c>
      <c r="K13" s="4">
        <f t="shared" si="0"/>
        <v>1.9444444444444486E-2</v>
      </c>
      <c r="L13" s="26">
        <f t="shared" si="2"/>
        <v>28.00000000000006</v>
      </c>
      <c r="M13" s="31">
        <f t="shared" si="3"/>
        <v>1</v>
      </c>
      <c r="N13" s="31">
        <f t="shared" si="4"/>
        <v>0</v>
      </c>
    </row>
    <row r="14" spans="1:14" ht="12.75" customHeight="1" x14ac:dyDescent="0.2">
      <c r="A14" s="16">
        <v>45732</v>
      </c>
      <c r="B14" s="8" t="s">
        <v>211</v>
      </c>
      <c r="C14" s="8">
        <v>3</v>
      </c>
      <c r="D14" s="8" t="s">
        <v>235</v>
      </c>
      <c r="E14" s="14">
        <v>3</v>
      </c>
      <c r="F14" s="33">
        <v>2</v>
      </c>
      <c r="G14" s="28">
        <v>5.486111111111111E-2</v>
      </c>
      <c r="H14" s="24">
        <v>4.1666666666666664E-2</v>
      </c>
      <c r="I14">
        <f t="shared" si="1"/>
        <v>1</v>
      </c>
      <c r="J14" s="11">
        <v>6.3888888888888884E-2</v>
      </c>
      <c r="K14" s="4">
        <f t="shared" si="0"/>
        <v>9.0277777777777735E-3</v>
      </c>
      <c r="L14" s="26">
        <f t="shared" si="2"/>
        <v>12.999999999999993</v>
      </c>
      <c r="M14" s="31">
        <f t="shared" si="3"/>
        <v>0</v>
      </c>
      <c r="N14" s="31">
        <f t="shared" si="4"/>
        <v>0</v>
      </c>
    </row>
    <row r="15" spans="1:14" ht="12.75" customHeight="1" x14ac:dyDescent="0.2">
      <c r="A15" s="16">
        <v>45732</v>
      </c>
      <c r="B15" s="8" t="s">
        <v>212</v>
      </c>
      <c r="C15" s="8">
        <v>1</v>
      </c>
      <c r="D15" s="8" t="s">
        <v>236</v>
      </c>
      <c r="E15" s="14">
        <v>1</v>
      </c>
      <c r="F15" s="33">
        <v>1</v>
      </c>
      <c r="G15" s="28">
        <v>0.60902777777777772</v>
      </c>
      <c r="H15" s="24">
        <v>0.625</v>
      </c>
      <c r="I15">
        <f t="shared" si="1"/>
        <v>4</v>
      </c>
      <c r="J15" s="11">
        <v>0.61250000000000004</v>
      </c>
      <c r="K15" s="4">
        <f t="shared" si="0"/>
        <v>3.4722222222223209E-3</v>
      </c>
      <c r="L15" s="26">
        <f t="shared" si="2"/>
        <v>5.0000000000001421</v>
      </c>
      <c r="M15" s="31">
        <f t="shared" si="3"/>
        <v>0</v>
      </c>
      <c r="N15" s="31">
        <f t="shared" si="4"/>
        <v>0</v>
      </c>
    </row>
    <row r="16" spans="1:14" ht="12.75" customHeight="1" x14ac:dyDescent="0.2">
      <c r="A16" s="16">
        <v>45734</v>
      </c>
      <c r="B16" s="8" t="s">
        <v>213</v>
      </c>
      <c r="C16" s="8">
        <v>2</v>
      </c>
      <c r="D16" s="8" t="s">
        <v>237</v>
      </c>
      <c r="E16" s="14">
        <v>1</v>
      </c>
      <c r="F16" s="33">
        <v>1</v>
      </c>
      <c r="G16" s="28">
        <v>0.4201388888888889</v>
      </c>
      <c r="H16" s="24">
        <v>0.41666666666666663</v>
      </c>
      <c r="I16">
        <f t="shared" si="1"/>
        <v>3</v>
      </c>
      <c r="J16" s="11">
        <v>0.42777777777777776</v>
      </c>
      <c r="K16" s="4">
        <f t="shared" si="0"/>
        <v>7.6388888888888618E-3</v>
      </c>
      <c r="L16" s="26">
        <f t="shared" si="2"/>
        <v>10.999999999999961</v>
      </c>
      <c r="M16" s="31">
        <f t="shared" si="3"/>
        <v>0</v>
      </c>
      <c r="N16" s="31">
        <f t="shared" si="4"/>
        <v>0</v>
      </c>
    </row>
    <row r="17" spans="1:14" ht="13" customHeight="1" x14ac:dyDescent="0.2">
      <c r="A17" s="16">
        <v>45735</v>
      </c>
      <c r="B17" s="8" t="s">
        <v>214</v>
      </c>
      <c r="C17" s="8">
        <v>5</v>
      </c>
      <c r="D17" s="8" t="s">
        <v>238</v>
      </c>
      <c r="E17" s="14">
        <v>1</v>
      </c>
      <c r="F17" s="33">
        <v>1</v>
      </c>
      <c r="G17" s="28">
        <v>0.70416666666666672</v>
      </c>
      <c r="H17" s="24">
        <v>0.70833333333333326</v>
      </c>
      <c r="I17">
        <f t="shared" si="1"/>
        <v>4</v>
      </c>
      <c r="J17" s="11">
        <v>0.72430555555555554</v>
      </c>
      <c r="K17" s="4">
        <f t="shared" si="0"/>
        <v>2.0138888888888817E-2</v>
      </c>
      <c r="L17" s="26">
        <f t="shared" si="2"/>
        <v>28.999999999999897</v>
      </c>
      <c r="M17" s="31">
        <f t="shared" si="3"/>
        <v>1</v>
      </c>
      <c r="N17" s="31">
        <f t="shared" si="4"/>
        <v>0</v>
      </c>
    </row>
    <row r="18" spans="1:14" ht="12.75" customHeight="1" x14ac:dyDescent="0.2">
      <c r="A18" s="16">
        <v>45735</v>
      </c>
      <c r="B18" s="8" t="s">
        <v>215</v>
      </c>
      <c r="C18" s="8">
        <v>2</v>
      </c>
      <c r="D18" s="8" t="s">
        <v>239</v>
      </c>
      <c r="E18" s="14">
        <v>1</v>
      </c>
      <c r="F18" s="33">
        <v>1</v>
      </c>
      <c r="G18" s="28">
        <v>0.72291666666666665</v>
      </c>
      <c r="H18" s="24">
        <v>0.70833333333333326</v>
      </c>
      <c r="I18">
        <f t="shared" si="1"/>
        <v>4</v>
      </c>
      <c r="J18" s="11">
        <v>0.7270833333333333</v>
      </c>
      <c r="K18" s="4">
        <f t="shared" si="0"/>
        <v>4.1666666666666519E-3</v>
      </c>
      <c r="L18" s="26">
        <f t="shared" si="2"/>
        <v>5.9999999999999787</v>
      </c>
      <c r="M18" s="31">
        <f t="shared" si="3"/>
        <v>0</v>
      </c>
      <c r="N18" s="31">
        <f t="shared" si="4"/>
        <v>0</v>
      </c>
    </row>
    <row r="19" spans="1:14" ht="12.75" customHeight="1" x14ac:dyDescent="0.2">
      <c r="A19" s="16">
        <v>45738</v>
      </c>
      <c r="B19" s="8" t="s">
        <v>216</v>
      </c>
      <c r="C19" s="8">
        <v>4</v>
      </c>
      <c r="D19" s="8" t="s">
        <v>240</v>
      </c>
      <c r="E19" s="14">
        <v>1</v>
      </c>
      <c r="F19" s="33">
        <v>1</v>
      </c>
      <c r="G19" s="28">
        <v>0.58194444444444449</v>
      </c>
      <c r="H19" s="24">
        <v>0.58333333333333326</v>
      </c>
      <c r="I19">
        <f t="shared" si="1"/>
        <v>4</v>
      </c>
      <c r="J19" s="11">
        <v>0.67708333333333337</v>
      </c>
      <c r="K19" s="4">
        <f t="shared" si="0"/>
        <v>9.5138888888888884E-2</v>
      </c>
      <c r="L19" s="26">
        <f t="shared" si="2"/>
        <v>137</v>
      </c>
      <c r="M19" s="31">
        <f t="shared" si="3"/>
        <v>1</v>
      </c>
      <c r="N19" s="31">
        <f t="shared" si="4"/>
        <v>1</v>
      </c>
    </row>
    <row r="20" spans="1:14" ht="12.75" customHeight="1" x14ac:dyDescent="0.2">
      <c r="A20" s="16">
        <v>45738</v>
      </c>
      <c r="B20" s="8" t="s">
        <v>217</v>
      </c>
      <c r="C20" s="8">
        <v>3</v>
      </c>
      <c r="D20" s="8" t="s">
        <v>241</v>
      </c>
      <c r="E20" s="14">
        <v>1</v>
      </c>
      <c r="F20" s="33">
        <v>1</v>
      </c>
      <c r="G20" s="28">
        <v>0.76388888888888884</v>
      </c>
      <c r="H20" s="24">
        <v>0.75</v>
      </c>
      <c r="I20">
        <f t="shared" si="1"/>
        <v>5</v>
      </c>
      <c r="J20" s="11">
        <v>0.80277777777777781</v>
      </c>
      <c r="K20" s="4">
        <f t="shared" si="0"/>
        <v>3.8888888888888973E-2</v>
      </c>
      <c r="L20" s="26">
        <f t="shared" si="2"/>
        <v>56.000000000000121</v>
      </c>
      <c r="M20" s="31">
        <f t="shared" si="3"/>
        <v>1</v>
      </c>
      <c r="N20" s="31">
        <f t="shared" si="4"/>
        <v>1</v>
      </c>
    </row>
    <row r="21" spans="1:14" ht="12.75" customHeight="1" x14ac:dyDescent="0.2">
      <c r="A21" s="16">
        <v>45738</v>
      </c>
      <c r="B21" s="8" t="s">
        <v>218</v>
      </c>
      <c r="C21" s="8">
        <v>3</v>
      </c>
      <c r="D21" s="8" t="s">
        <v>242</v>
      </c>
      <c r="E21" s="14">
        <v>1</v>
      </c>
      <c r="F21" s="33">
        <v>1</v>
      </c>
      <c r="G21" s="28">
        <v>0.76388888888888884</v>
      </c>
      <c r="H21" s="24">
        <v>0.75</v>
      </c>
      <c r="I21">
        <f t="shared" si="1"/>
        <v>5</v>
      </c>
      <c r="J21" s="11">
        <v>0.77916666666666667</v>
      </c>
      <c r="K21" s="4">
        <f t="shared" si="0"/>
        <v>1.5277777777777835E-2</v>
      </c>
      <c r="L21" s="26">
        <f t="shared" si="2"/>
        <v>22.000000000000082</v>
      </c>
      <c r="M21" s="31">
        <f t="shared" si="3"/>
        <v>1</v>
      </c>
      <c r="N21" s="31">
        <f t="shared" si="4"/>
        <v>0</v>
      </c>
    </row>
    <row r="22" spans="1:14" ht="12.75" customHeight="1" x14ac:dyDescent="0.2">
      <c r="A22" s="16">
        <v>45739</v>
      </c>
      <c r="B22" s="8" t="s">
        <v>219</v>
      </c>
      <c r="C22" s="8">
        <v>1</v>
      </c>
      <c r="D22" s="8" t="s">
        <v>243</v>
      </c>
      <c r="E22" s="14">
        <v>3</v>
      </c>
      <c r="F22" s="33">
        <v>2</v>
      </c>
      <c r="G22" s="28">
        <v>0.81180555555555556</v>
      </c>
      <c r="H22" s="24">
        <v>0.79166666666666663</v>
      </c>
      <c r="I22">
        <f t="shared" si="1"/>
        <v>5</v>
      </c>
      <c r="J22" s="11">
        <v>0.85069444444444442</v>
      </c>
      <c r="K22" s="4">
        <f t="shared" si="0"/>
        <v>3.8888888888888862E-2</v>
      </c>
      <c r="L22" s="26">
        <f t="shared" si="2"/>
        <v>55.999999999999957</v>
      </c>
      <c r="M22" s="31">
        <f t="shared" si="3"/>
        <v>1</v>
      </c>
      <c r="N22" s="31">
        <f t="shared" si="4"/>
        <v>1</v>
      </c>
    </row>
    <row r="23" spans="1:14" ht="12.75" customHeight="1" x14ac:dyDescent="0.2">
      <c r="A23" s="16">
        <v>45740</v>
      </c>
      <c r="B23" s="8" t="s">
        <v>220</v>
      </c>
      <c r="C23" s="8">
        <v>4</v>
      </c>
      <c r="D23" s="8" t="s">
        <v>244</v>
      </c>
      <c r="E23" s="14">
        <v>1</v>
      </c>
      <c r="F23" s="33">
        <v>1</v>
      </c>
      <c r="G23" s="28">
        <v>0.74652777777777779</v>
      </c>
      <c r="H23" s="24">
        <v>0.75</v>
      </c>
      <c r="I23">
        <f t="shared" si="1"/>
        <v>5</v>
      </c>
      <c r="J23" s="11">
        <v>0.75</v>
      </c>
      <c r="K23" s="4">
        <f t="shared" si="0"/>
        <v>3.4722222222222099E-3</v>
      </c>
      <c r="L23" s="26">
        <f t="shared" si="2"/>
        <v>4.9999999999999822</v>
      </c>
      <c r="M23" s="31">
        <f t="shared" si="3"/>
        <v>0</v>
      </c>
      <c r="N23" s="31">
        <f t="shared" si="4"/>
        <v>0</v>
      </c>
    </row>
    <row r="24" spans="1:14" ht="12.75" customHeight="1" x14ac:dyDescent="0.2">
      <c r="A24" s="16">
        <v>45743</v>
      </c>
      <c r="B24" s="8" t="s">
        <v>221</v>
      </c>
      <c r="C24" s="8">
        <v>3</v>
      </c>
      <c r="D24" s="8" t="s">
        <v>245</v>
      </c>
      <c r="E24" s="14">
        <v>1</v>
      </c>
      <c r="F24" s="33">
        <v>1</v>
      </c>
      <c r="G24" s="28">
        <v>0.76249999999999996</v>
      </c>
      <c r="H24" s="24">
        <v>0.75</v>
      </c>
      <c r="I24">
        <f t="shared" si="1"/>
        <v>5</v>
      </c>
      <c r="J24" s="11">
        <v>0.76875000000000004</v>
      </c>
      <c r="K24" s="4">
        <f t="shared" si="0"/>
        <v>6.2500000000000888E-3</v>
      </c>
      <c r="L24" s="26">
        <f t="shared" si="2"/>
        <v>9.0000000000001279</v>
      </c>
      <c r="M24" s="31">
        <f t="shared" si="3"/>
        <v>0</v>
      </c>
      <c r="N24" s="31">
        <f t="shared" si="4"/>
        <v>0</v>
      </c>
    </row>
    <row r="25" spans="1:14" ht="12.75" customHeight="1" x14ac:dyDescent="0.2">
      <c r="A25" s="16">
        <v>45745</v>
      </c>
      <c r="B25" s="8" t="s">
        <v>222</v>
      </c>
      <c r="C25" s="8">
        <v>2</v>
      </c>
      <c r="D25" s="8" t="s">
        <v>246</v>
      </c>
      <c r="E25" s="14">
        <v>1</v>
      </c>
      <c r="F25" s="33">
        <v>1</v>
      </c>
      <c r="G25" s="28">
        <v>0.7993055555555556</v>
      </c>
      <c r="H25" s="24">
        <v>0.79166666666666663</v>
      </c>
      <c r="I25">
        <f t="shared" si="1"/>
        <v>5</v>
      </c>
      <c r="J25" s="11">
        <v>0.8041666666666667</v>
      </c>
      <c r="K25" s="4">
        <f t="shared" si="0"/>
        <v>4.8611111111110938E-3</v>
      </c>
      <c r="L25" s="26">
        <f t="shared" si="2"/>
        <v>6.9999999999999751</v>
      </c>
      <c r="M25" s="31">
        <f t="shared" si="3"/>
        <v>0</v>
      </c>
      <c r="N25" s="31">
        <f t="shared" si="4"/>
        <v>0</v>
      </c>
    </row>
    <row r="26" spans="1:14" ht="12.75" customHeight="1" x14ac:dyDescent="0.2">
      <c r="A26" s="16">
        <v>45746</v>
      </c>
      <c r="B26" s="8" t="s">
        <v>223</v>
      </c>
      <c r="C26" s="8">
        <v>2</v>
      </c>
      <c r="D26" s="8" t="s">
        <v>247</v>
      </c>
      <c r="E26" s="14">
        <v>1</v>
      </c>
      <c r="F26" s="33">
        <v>1</v>
      </c>
      <c r="G26" s="28">
        <v>0.9</v>
      </c>
      <c r="H26" s="24">
        <v>0.91666666666666663</v>
      </c>
      <c r="I26">
        <f t="shared" si="1"/>
        <v>6</v>
      </c>
      <c r="J26" s="11">
        <v>0.90694444444444444</v>
      </c>
      <c r="K26" s="4">
        <f t="shared" si="0"/>
        <v>6.9444444444444198E-3</v>
      </c>
      <c r="L26" s="26">
        <f t="shared" si="2"/>
        <v>9.9999999999999645</v>
      </c>
      <c r="M26" s="31">
        <f t="shared" si="3"/>
        <v>0</v>
      </c>
      <c r="N26" s="31">
        <f t="shared" si="4"/>
        <v>0</v>
      </c>
    </row>
    <row r="27" spans="1:14" ht="12.75" customHeight="1" x14ac:dyDescent="0.2">
      <c r="A27" s="17">
        <v>45811</v>
      </c>
      <c r="B27" s="8" t="s">
        <v>99</v>
      </c>
      <c r="C27" s="8">
        <v>2</v>
      </c>
      <c r="D27" t="s">
        <v>147</v>
      </c>
      <c r="E27" s="14">
        <v>1</v>
      </c>
      <c r="F27" s="33">
        <v>1</v>
      </c>
      <c r="G27" s="29" t="s">
        <v>64</v>
      </c>
      <c r="H27" s="24">
        <v>0.625</v>
      </c>
      <c r="I27">
        <f t="shared" si="1"/>
        <v>4</v>
      </c>
      <c r="J27" s="19" t="s">
        <v>65</v>
      </c>
      <c r="K27" s="4">
        <f t="shared" si="0"/>
        <v>1.9444444444444375E-2</v>
      </c>
      <c r="L27" s="26">
        <f t="shared" si="2"/>
        <v>27.999999999999901</v>
      </c>
      <c r="M27" s="31">
        <f t="shared" si="3"/>
        <v>1</v>
      </c>
      <c r="N27" s="31">
        <f t="shared" si="4"/>
        <v>0</v>
      </c>
    </row>
    <row r="28" spans="1:14" ht="12.75" customHeight="1" x14ac:dyDescent="0.2">
      <c r="A28" s="17">
        <v>45812</v>
      </c>
      <c r="B28" s="8" t="s">
        <v>100</v>
      </c>
      <c r="C28" s="8">
        <v>7</v>
      </c>
      <c r="D28" t="s">
        <v>148</v>
      </c>
      <c r="E28" s="14">
        <v>3</v>
      </c>
      <c r="F28" s="33">
        <v>2</v>
      </c>
      <c r="G28" s="29" t="s">
        <v>66</v>
      </c>
      <c r="H28" s="24">
        <v>0.29166666666666663</v>
      </c>
      <c r="I28">
        <f t="shared" si="1"/>
        <v>2</v>
      </c>
      <c r="J28" s="19" t="s">
        <v>67</v>
      </c>
      <c r="K28" s="4">
        <f t="shared" si="0"/>
        <v>2.0833333333333259E-3</v>
      </c>
      <c r="L28" s="26">
        <f t="shared" si="2"/>
        <v>2.9999999999999893</v>
      </c>
      <c r="M28" s="31">
        <f t="shared" si="3"/>
        <v>0</v>
      </c>
      <c r="N28" s="31">
        <f t="shared" si="4"/>
        <v>0</v>
      </c>
    </row>
    <row r="29" spans="1:14" ht="12.75" customHeight="1" x14ac:dyDescent="0.2">
      <c r="A29" s="17">
        <v>45824</v>
      </c>
      <c r="B29" s="8" t="s">
        <v>101</v>
      </c>
      <c r="C29" s="8">
        <v>8</v>
      </c>
      <c r="D29" t="s">
        <v>149</v>
      </c>
      <c r="E29" s="14">
        <v>1</v>
      </c>
      <c r="F29" s="33">
        <v>1</v>
      </c>
      <c r="G29" s="29" t="s">
        <v>68</v>
      </c>
      <c r="H29" s="24">
        <v>0.625</v>
      </c>
      <c r="I29">
        <f t="shared" si="1"/>
        <v>4</v>
      </c>
      <c r="J29" s="19" t="s">
        <v>69</v>
      </c>
      <c r="K29" s="4">
        <f t="shared" si="0"/>
        <v>4.8611111111110938E-3</v>
      </c>
      <c r="L29" s="26">
        <f t="shared" si="2"/>
        <v>6.9999999999999751</v>
      </c>
      <c r="M29" s="31">
        <f t="shared" si="3"/>
        <v>0</v>
      </c>
      <c r="N29" s="31">
        <f t="shared" si="4"/>
        <v>0</v>
      </c>
    </row>
    <row r="30" spans="1:14" ht="12.75" customHeight="1" x14ac:dyDescent="0.2">
      <c r="A30" s="17">
        <v>45826</v>
      </c>
      <c r="B30" s="8" t="s">
        <v>98</v>
      </c>
      <c r="C30" s="8">
        <v>1</v>
      </c>
      <c r="D30" t="s">
        <v>150</v>
      </c>
      <c r="E30" s="14">
        <v>1</v>
      </c>
      <c r="F30" s="33">
        <v>1</v>
      </c>
      <c r="G30" s="29" t="s">
        <v>70</v>
      </c>
      <c r="H30" s="24">
        <v>0.58333333333333326</v>
      </c>
      <c r="I30">
        <f t="shared" si="1"/>
        <v>4</v>
      </c>
      <c r="J30" s="19" t="s">
        <v>71</v>
      </c>
      <c r="K30" s="4">
        <f t="shared" si="0"/>
        <v>9.7222222222221877E-3</v>
      </c>
      <c r="L30" s="26">
        <f t="shared" si="2"/>
        <v>13.99999999999995</v>
      </c>
      <c r="M30" s="31">
        <f t="shared" si="3"/>
        <v>0</v>
      </c>
      <c r="N30" s="31">
        <f t="shared" si="4"/>
        <v>0</v>
      </c>
    </row>
    <row r="31" spans="1:14" ht="12.75" customHeight="1" x14ac:dyDescent="0.2">
      <c r="A31" s="17">
        <v>45827</v>
      </c>
      <c r="B31" s="8" t="s">
        <v>102</v>
      </c>
      <c r="C31" s="8">
        <v>9</v>
      </c>
      <c r="D31" t="s">
        <v>152</v>
      </c>
      <c r="E31" s="14">
        <v>2</v>
      </c>
      <c r="F31" s="33">
        <v>2</v>
      </c>
      <c r="G31" s="29">
        <v>0.59583333333333333</v>
      </c>
      <c r="H31" s="24">
        <v>0.58333333333333326</v>
      </c>
      <c r="I31">
        <f t="shared" si="1"/>
        <v>4</v>
      </c>
      <c r="J31" s="19" t="s">
        <v>73</v>
      </c>
      <c r="K31" s="4">
        <f t="shared" si="0"/>
        <v>2.7083333333333348E-2</v>
      </c>
      <c r="L31" s="26">
        <f t="shared" si="2"/>
        <v>39.000000000000021</v>
      </c>
      <c r="M31" s="31">
        <f t="shared" si="3"/>
        <v>1</v>
      </c>
      <c r="N31" s="31">
        <f t="shared" si="4"/>
        <v>0</v>
      </c>
    </row>
    <row r="32" spans="1:14" ht="12.75" customHeight="1" x14ac:dyDescent="0.2">
      <c r="A32" s="17">
        <v>45828</v>
      </c>
      <c r="B32" s="8" t="s">
        <v>104</v>
      </c>
      <c r="C32" s="8">
        <v>3</v>
      </c>
      <c r="D32" t="s">
        <v>153</v>
      </c>
      <c r="E32" s="14">
        <v>1</v>
      </c>
      <c r="F32" s="33">
        <v>1</v>
      </c>
      <c r="G32" s="29" t="s">
        <v>76</v>
      </c>
      <c r="H32" s="24">
        <v>0.79166666666666663</v>
      </c>
      <c r="I32">
        <f t="shared" si="1"/>
        <v>5</v>
      </c>
      <c r="J32" s="19" t="s">
        <v>77</v>
      </c>
      <c r="K32" s="4">
        <f t="shared" ref="K32:K63" si="5">J32-G32</f>
        <v>0.14652777777777781</v>
      </c>
      <c r="L32" s="26">
        <f t="shared" si="2"/>
        <v>211.00000000000006</v>
      </c>
      <c r="M32" s="31">
        <f t="shared" si="3"/>
        <v>1</v>
      </c>
      <c r="N32" s="31">
        <f t="shared" si="4"/>
        <v>1</v>
      </c>
    </row>
    <row r="33" spans="1:14" ht="12.75" customHeight="1" x14ac:dyDescent="0.2">
      <c r="A33" s="17">
        <v>45828</v>
      </c>
      <c r="B33" s="8" t="s">
        <v>105</v>
      </c>
      <c r="C33" s="8">
        <v>3</v>
      </c>
      <c r="D33" t="s">
        <v>155</v>
      </c>
      <c r="E33" s="14">
        <v>4</v>
      </c>
      <c r="F33" s="33">
        <v>2</v>
      </c>
      <c r="G33" s="29" t="s">
        <v>78</v>
      </c>
      <c r="H33" s="24">
        <v>0.83333333333333326</v>
      </c>
      <c r="I33">
        <f t="shared" si="1"/>
        <v>5</v>
      </c>
      <c r="J33" s="19" t="s">
        <v>79</v>
      </c>
      <c r="K33" s="4">
        <f t="shared" si="5"/>
        <v>7.4999999999999956E-2</v>
      </c>
      <c r="L33" s="26">
        <f t="shared" si="2"/>
        <v>107.99999999999994</v>
      </c>
      <c r="M33" s="31">
        <f t="shared" si="3"/>
        <v>1</v>
      </c>
      <c r="N33" s="31">
        <f t="shared" si="4"/>
        <v>1</v>
      </c>
    </row>
    <row r="34" spans="1:14" ht="12.75" customHeight="1" x14ac:dyDescent="0.2">
      <c r="A34" s="17">
        <v>45828</v>
      </c>
      <c r="B34" s="8" t="s">
        <v>106</v>
      </c>
      <c r="C34" s="8">
        <v>3</v>
      </c>
      <c r="D34" t="s">
        <v>154</v>
      </c>
      <c r="E34" s="14">
        <v>1</v>
      </c>
      <c r="F34" s="33">
        <v>1</v>
      </c>
      <c r="G34" s="29" t="s">
        <v>80</v>
      </c>
      <c r="H34" s="24">
        <v>0.875</v>
      </c>
      <c r="I34">
        <f t="shared" si="1"/>
        <v>5</v>
      </c>
      <c r="J34" s="19" t="s">
        <v>81</v>
      </c>
      <c r="K34" s="4">
        <f t="shared" si="5"/>
        <v>4.1666666666666741E-2</v>
      </c>
      <c r="L34" s="26">
        <f t="shared" si="2"/>
        <v>60.000000000000107</v>
      </c>
      <c r="M34" s="31">
        <f t="shared" si="3"/>
        <v>1</v>
      </c>
      <c r="N34" s="31">
        <f t="shared" si="4"/>
        <v>1</v>
      </c>
    </row>
    <row r="35" spans="1:14" ht="12.75" customHeight="1" x14ac:dyDescent="0.2">
      <c r="A35" s="17">
        <v>45829</v>
      </c>
      <c r="B35" s="8" t="s">
        <v>107</v>
      </c>
      <c r="C35" s="8">
        <v>2</v>
      </c>
      <c r="D35" t="s">
        <v>156</v>
      </c>
      <c r="E35" s="14">
        <v>1</v>
      </c>
      <c r="F35" s="33">
        <v>1</v>
      </c>
      <c r="G35" s="29" t="s">
        <v>82</v>
      </c>
      <c r="H35" s="24">
        <v>4.1666666666666664E-2</v>
      </c>
      <c r="I35">
        <f t="shared" si="1"/>
        <v>1</v>
      </c>
      <c r="J35" s="19" t="s">
        <v>83</v>
      </c>
      <c r="K35" s="4">
        <f t="shared" si="5"/>
        <v>1.3194444444444439E-2</v>
      </c>
      <c r="L35" s="26">
        <f t="shared" si="2"/>
        <v>18.999999999999993</v>
      </c>
      <c r="M35" s="31">
        <f t="shared" si="3"/>
        <v>0</v>
      </c>
      <c r="N35" s="31">
        <f t="shared" si="4"/>
        <v>0</v>
      </c>
    </row>
    <row r="36" spans="1:14" ht="12.75" customHeight="1" x14ac:dyDescent="0.2">
      <c r="A36" s="17">
        <v>45830</v>
      </c>
      <c r="B36" s="8" t="s">
        <v>108</v>
      </c>
      <c r="C36" s="8">
        <v>4</v>
      </c>
      <c r="D36" t="s">
        <v>157</v>
      </c>
      <c r="E36" s="14">
        <v>5</v>
      </c>
      <c r="F36" s="33">
        <v>2</v>
      </c>
      <c r="G36" s="29" t="s">
        <v>84</v>
      </c>
      <c r="H36" s="24">
        <v>0.54166666666666663</v>
      </c>
      <c r="I36">
        <f t="shared" si="1"/>
        <v>4</v>
      </c>
      <c r="J36" s="19" t="s">
        <v>85</v>
      </c>
      <c r="K36" s="4">
        <f t="shared" si="5"/>
        <v>6.2499999999999778E-3</v>
      </c>
      <c r="L36" s="26">
        <f t="shared" si="2"/>
        <v>8.999999999999968</v>
      </c>
      <c r="M36" s="31">
        <f t="shared" si="3"/>
        <v>0</v>
      </c>
      <c r="N36" s="31">
        <f t="shared" si="4"/>
        <v>0</v>
      </c>
    </row>
    <row r="37" spans="1:14" ht="12.75" customHeight="1" x14ac:dyDescent="0.2">
      <c r="A37" s="17">
        <v>45831</v>
      </c>
      <c r="B37" s="8" t="s">
        <v>109</v>
      </c>
      <c r="C37" s="8">
        <v>2</v>
      </c>
      <c r="D37" t="s">
        <v>158</v>
      </c>
      <c r="E37" s="14">
        <v>1</v>
      </c>
      <c r="F37" s="33">
        <v>1</v>
      </c>
      <c r="G37" s="29" t="s">
        <v>86</v>
      </c>
      <c r="H37" s="24">
        <v>0.5</v>
      </c>
      <c r="I37">
        <f t="shared" si="1"/>
        <v>3</v>
      </c>
      <c r="J37" s="19" t="s">
        <v>87</v>
      </c>
      <c r="K37" s="4">
        <f t="shared" si="5"/>
        <v>5.6944444444444464E-2</v>
      </c>
      <c r="L37" s="26">
        <f t="shared" si="2"/>
        <v>82.000000000000028</v>
      </c>
      <c r="M37" s="31">
        <f t="shared" si="3"/>
        <v>1</v>
      </c>
      <c r="N37" s="31">
        <f t="shared" si="4"/>
        <v>1</v>
      </c>
    </row>
    <row r="38" spans="1:14" ht="12.75" customHeight="1" x14ac:dyDescent="0.2">
      <c r="A38" s="17">
        <v>45831</v>
      </c>
      <c r="B38" s="8" t="s">
        <v>110</v>
      </c>
      <c r="C38" s="8">
        <v>4</v>
      </c>
      <c r="D38" t="s">
        <v>159</v>
      </c>
      <c r="E38" s="14">
        <v>1</v>
      </c>
      <c r="F38" s="33">
        <v>1</v>
      </c>
      <c r="G38" s="29" t="s">
        <v>88</v>
      </c>
      <c r="H38" s="24">
        <v>0.875</v>
      </c>
      <c r="I38">
        <f t="shared" si="1"/>
        <v>5</v>
      </c>
      <c r="J38" s="19" t="s">
        <v>89</v>
      </c>
      <c r="K38" s="4">
        <f t="shared" si="5"/>
        <v>8.6805555555555469E-2</v>
      </c>
      <c r="L38" s="26">
        <f t="shared" si="2"/>
        <v>124.99999999999987</v>
      </c>
      <c r="M38" s="31">
        <f t="shared" si="3"/>
        <v>1</v>
      </c>
      <c r="N38" s="31">
        <f t="shared" si="4"/>
        <v>1</v>
      </c>
    </row>
    <row r="39" spans="1:14" ht="12.75" customHeight="1" x14ac:dyDescent="0.2">
      <c r="A39" s="17">
        <v>45832</v>
      </c>
      <c r="B39" s="8" t="s">
        <v>111</v>
      </c>
      <c r="C39" s="8">
        <v>1</v>
      </c>
      <c r="D39" t="s">
        <v>160</v>
      </c>
      <c r="E39" s="14">
        <v>1</v>
      </c>
      <c r="F39" s="33">
        <v>1</v>
      </c>
      <c r="G39" s="29" t="s">
        <v>90</v>
      </c>
      <c r="H39" s="24">
        <v>8.3333333333333329E-2</v>
      </c>
      <c r="I39">
        <f t="shared" si="1"/>
        <v>1</v>
      </c>
      <c r="J39" s="19" t="s">
        <v>91</v>
      </c>
      <c r="K39" s="4">
        <f t="shared" si="5"/>
        <v>3.125E-2</v>
      </c>
      <c r="L39" s="26">
        <f t="shared" si="2"/>
        <v>45</v>
      </c>
      <c r="M39" s="31">
        <f t="shared" si="3"/>
        <v>1</v>
      </c>
      <c r="N39" s="31">
        <f t="shared" si="4"/>
        <v>1</v>
      </c>
    </row>
    <row r="40" spans="1:14" ht="12.75" customHeight="1" x14ac:dyDescent="0.2">
      <c r="A40" s="17">
        <v>45832</v>
      </c>
      <c r="B40" s="8" t="s">
        <v>112</v>
      </c>
      <c r="C40" s="8">
        <v>2</v>
      </c>
      <c r="D40" t="s">
        <v>161</v>
      </c>
      <c r="E40" s="14">
        <v>1</v>
      </c>
      <c r="F40" s="33">
        <v>1</v>
      </c>
      <c r="G40" s="29" t="s">
        <v>92</v>
      </c>
      <c r="H40" s="24">
        <v>0.79166666666666663</v>
      </c>
      <c r="I40">
        <f t="shared" si="1"/>
        <v>5</v>
      </c>
      <c r="J40" s="19" t="s">
        <v>93</v>
      </c>
      <c r="K40" s="4">
        <f t="shared" si="5"/>
        <v>7.986111111111116E-2</v>
      </c>
      <c r="L40" s="26">
        <f t="shared" si="2"/>
        <v>115.00000000000007</v>
      </c>
      <c r="M40" s="31">
        <f t="shared" si="3"/>
        <v>1</v>
      </c>
      <c r="N40" s="31">
        <f t="shared" si="4"/>
        <v>1</v>
      </c>
    </row>
    <row r="41" spans="1:14" ht="12.75" customHeight="1" x14ac:dyDescent="0.2">
      <c r="A41" s="17">
        <v>45834</v>
      </c>
      <c r="B41" s="8" t="s">
        <v>113</v>
      </c>
      <c r="C41" s="8">
        <v>4</v>
      </c>
      <c r="D41" t="s">
        <v>162</v>
      </c>
      <c r="E41" s="14">
        <v>1</v>
      </c>
      <c r="F41" s="33">
        <v>1</v>
      </c>
      <c r="G41" s="29" t="s">
        <v>94</v>
      </c>
      <c r="H41" s="24">
        <v>0.70833333333333326</v>
      </c>
      <c r="I41">
        <f t="shared" si="1"/>
        <v>4</v>
      </c>
      <c r="J41" s="19" t="s">
        <v>95</v>
      </c>
      <c r="K41" s="4">
        <f t="shared" si="5"/>
        <v>5.5555555555555358E-3</v>
      </c>
      <c r="L41" s="26">
        <f t="shared" si="2"/>
        <v>7.9999999999999716</v>
      </c>
      <c r="M41" s="31">
        <f t="shared" si="3"/>
        <v>0</v>
      </c>
      <c r="N41" s="31">
        <f t="shared" si="4"/>
        <v>0</v>
      </c>
    </row>
    <row r="42" spans="1:14" ht="12.75" customHeight="1" x14ac:dyDescent="0.2">
      <c r="A42" s="17">
        <v>45835</v>
      </c>
      <c r="B42" s="8" t="s">
        <v>114</v>
      </c>
      <c r="C42" s="8">
        <v>4</v>
      </c>
      <c r="D42" t="s">
        <v>146</v>
      </c>
      <c r="E42" s="14">
        <v>1</v>
      </c>
      <c r="F42" s="33">
        <v>1</v>
      </c>
      <c r="G42" s="29" t="s">
        <v>96</v>
      </c>
      <c r="H42" s="24">
        <v>0.95833333333333326</v>
      </c>
      <c r="I42">
        <f t="shared" si="1"/>
        <v>6</v>
      </c>
      <c r="J42" s="19" t="s">
        <v>97</v>
      </c>
      <c r="K42" s="4">
        <f t="shared" si="5"/>
        <v>3.125E-2</v>
      </c>
      <c r="L42" s="26">
        <f t="shared" si="2"/>
        <v>45</v>
      </c>
      <c r="M42" s="31">
        <f t="shared" si="3"/>
        <v>1</v>
      </c>
      <c r="N42" s="31">
        <f t="shared" si="4"/>
        <v>1</v>
      </c>
    </row>
    <row r="43" spans="1:14" ht="12.75" customHeight="1" x14ac:dyDescent="0.2">
      <c r="A43" s="16">
        <v>45845</v>
      </c>
      <c r="B43" s="8" t="s">
        <v>163</v>
      </c>
      <c r="C43" s="8">
        <v>7</v>
      </c>
      <c r="D43" s="8" t="s">
        <v>181</v>
      </c>
      <c r="E43" s="14">
        <v>1</v>
      </c>
      <c r="F43" s="33">
        <v>1</v>
      </c>
      <c r="G43" s="30">
        <v>0.75277777777777777</v>
      </c>
      <c r="H43" s="24">
        <v>0.75</v>
      </c>
      <c r="I43">
        <f t="shared" si="1"/>
        <v>5</v>
      </c>
      <c r="J43" s="20">
        <v>0.82708333333333328</v>
      </c>
      <c r="K43" s="4">
        <f t="shared" si="5"/>
        <v>7.4305555555555514E-2</v>
      </c>
      <c r="L43" s="26">
        <f t="shared" si="2"/>
        <v>106.99999999999994</v>
      </c>
      <c r="M43" s="31">
        <f t="shared" si="3"/>
        <v>1</v>
      </c>
      <c r="N43" s="31">
        <f t="shared" si="4"/>
        <v>1</v>
      </c>
    </row>
    <row r="44" spans="1:14" ht="12.75" customHeight="1" x14ac:dyDescent="0.2">
      <c r="A44" s="16">
        <v>45845</v>
      </c>
      <c r="B44" s="8" t="s">
        <v>164</v>
      </c>
      <c r="C44" s="8">
        <v>10</v>
      </c>
      <c r="D44" s="8" t="s">
        <v>182</v>
      </c>
      <c r="E44" s="14">
        <v>1</v>
      </c>
      <c r="F44" s="33">
        <v>1</v>
      </c>
      <c r="G44" s="30">
        <v>0.71111111111111114</v>
      </c>
      <c r="H44" s="24">
        <v>0.70833333333333326</v>
      </c>
      <c r="I44">
        <f t="shared" si="1"/>
        <v>4</v>
      </c>
      <c r="J44" s="20">
        <v>0.71944444444444444</v>
      </c>
      <c r="K44" s="4">
        <f t="shared" si="5"/>
        <v>8.3333333333333037E-3</v>
      </c>
      <c r="L44" s="26">
        <f t="shared" si="2"/>
        <v>11.999999999999957</v>
      </c>
      <c r="M44" s="31">
        <f t="shared" si="3"/>
        <v>0</v>
      </c>
      <c r="N44" s="31">
        <f t="shared" si="4"/>
        <v>0</v>
      </c>
    </row>
    <row r="45" spans="1:14" ht="12.75" customHeight="1" x14ac:dyDescent="0.2">
      <c r="A45" s="16">
        <v>45846</v>
      </c>
      <c r="B45" s="8" t="s">
        <v>165</v>
      </c>
      <c r="C45" s="8">
        <v>2</v>
      </c>
      <c r="D45" s="8" t="s">
        <v>183</v>
      </c>
      <c r="E45" s="14">
        <v>1</v>
      </c>
      <c r="F45" s="33">
        <v>1</v>
      </c>
      <c r="G45" s="30">
        <v>0.44583333333333336</v>
      </c>
      <c r="H45" s="24">
        <v>0.45833333333333331</v>
      </c>
      <c r="I45">
        <f t="shared" si="1"/>
        <v>3</v>
      </c>
      <c r="J45" s="20">
        <v>0.55000000000000004</v>
      </c>
      <c r="K45" s="4">
        <f t="shared" si="5"/>
        <v>0.10416666666666669</v>
      </c>
      <c r="L45" s="26">
        <f t="shared" si="2"/>
        <v>150.00000000000003</v>
      </c>
      <c r="M45" s="31">
        <f t="shared" si="3"/>
        <v>1</v>
      </c>
      <c r="N45" s="31">
        <f t="shared" si="4"/>
        <v>1</v>
      </c>
    </row>
    <row r="46" spans="1:14" ht="12.75" customHeight="1" x14ac:dyDescent="0.2">
      <c r="A46" s="16">
        <v>45846</v>
      </c>
      <c r="B46" s="8" t="s">
        <v>166</v>
      </c>
      <c r="C46" s="8">
        <v>10</v>
      </c>
      <c r="D46" s="8" t="s">
        <v>184</v>
      </c>
      <c r="E46" s="14">
        <v>1</v>
      </c>
      <c r="F46" s="33">
        <v>1</v>
      </c>
      <c r="G46" s="30">
        <v>0.72499999999999998</v>
      </c>
      <c r="H46" s="24">
        <v>0.70833333333333326</v>
      </c>
      <c r="I46">
        <f t="shared" si="1"/>
        <v>4</v>
      </c>
      <c r="J46" s="20">
        <v>0.75208333333333333</v>
      </c>
      <c r="K46" s="4">
        <f t="shared" si="5"/>
        <v>2.7083333333333348E-2</v>
      </c>
      <c r="L46" s="26">
        <f t="shared" si="2"/>
        <v>39.000000000000021</v>
      </c>
      <c r="M46" s="31">
        <f t="shared" si="3"/>
        <v>1</v>
      </c>
      <c r="N46" s="31">
        <f t="shared" si="4"/>
        <v>0</v>
      </c>
    </row>
    <row r="47" spans="1:14" ht="12.75" customHeight="1" x14ac:dyDescent="0.2">
      <c r="A47" s="16">
        <v>45847</v>
      </c>
      <c r="B47" s="8" t="s">
        <v>167</v>
      </c>
      <c r="C47" s="8">
        <v>6</v>
      </c>
      <c r="D47" s="8" t="s">
        <v>185</v>
      </c>
      <c r="E47" s="14">
        <v>1</v>
      </c>
      <c r="F47" s="33">
        <v>1</v>
      </c>
      <c r="G47" s="30">
        <v>0.65208333333333335</v>
      </c>
      <c r="H47" s="24">
        <v>0.66666666666666663</v>
      </c>
      <c r="I47">
        <f t="shared" si="1"/>
        <v>4</v>
      </c>
      <c r="J47" s="20">
        <v>0.67291666666666672</v>
      </c>
      <c r="K47" s="4">
        <f t="shared" si="5"/>
        <v>2.083333333333337E-2</v>
      </c>
      <c r="L47" s="26">
        <f t="shared" si="2"/>
        <v>30.000000000000053</v>
      </c>
      <c r="M47" s="31">
        <f t="shared" si="3"/>
        <v>1</v>
      </c>
      <c r="N47" s="31">
        <f t="shared" si="4"/>
        <v>0</v>
      </c>
    </row>
    <row r="48" spans="1:14" ht="12.75" customHeight="1" x14ac:dyDescent="0.2">
      <c r="A48" s="16">
        <v>45847</v>
      </c>
      <c r="B48" s="8" t="s">
        <v>168</v>
      </c>
      <c r="C48" s="8">
        <v>3</v>
      </c>
      <c r="D48" s="8" t="s">
        <v>186</v>
      </c>
      <c r="E48" s="14">
        <v>1</v>
      </c>
      <c r="F48" s="33">
        <v>1</v>
      </c>
      <c r="G48" s="30">
        <v>0.68958333333333333</v>
      </c>
      <c r="H48" s="24">
        <v>0.70833333333333326</v>
      </c>
      <c r="I48">
        <f t="shared" si="1"/>
        <v>4</v>
      </c>
      <c r="J48" s="20">
        <v>0.7</v>
      </c>
      <c r="K48" s="4">
        <f t="shared" si="5"/>
        <v>1.041666666666663E-2</v>
      </c>
      <c r="L48" s="26">
        <f t="shared" si="2"/>
        <v>14.999999999999947</v>
      </c>
      <c r="M48" s="31">
        <f t="shared" si="3"/>
        <v>0</v>
      </c>
      <c r="N48" s="31">
        <f t="shared" si="4"/>
        <v>0</v>
      </c>
    </row>
    <row r="49" spans="1:14" ht="12.75" customHeight="1" x14ac:dyDescent="0.2">
      <c r="A49" s="16">
        <v>45849</v>
      </c>
      <c r="B49" s="8" t="s">
        <v>169</v>
      </c>
      <c r="C49" s="8">
        <v>7</v>
      </c>
      <c r="D49" s="8" t="s">
        <v>187</v>
      </c>
      <c r="E49" s="14">
        <v>1</v>
      </c>
      <c r="F49" s="33">
        <v>1</v>
      </c>
      <c r="G49" s="30">
        <v>0.79305555555555551</v>
      </c>
      <c r="H49" s="24">
        <v>0.79166666666666663</v>
      </c>
      <c r="I49">
        <f t="shared" si="1"/>
        <v>5</v>
      </c>
      <c r="J49" s="20">
        <v>0.85347222222222219</v>
      </c>
      <c r="K49" s="4">
        <f t="shared" si="5"/>
        <v>6.0416666666666674E-2</v>
      </c>
      <c r="L49" s="26">
        <f t="shared" si="2"/>
        <v>87.000000000000014</v>
      </c>
      <c r="M49" s="31">
        <f t="shared" si="3"/>
        <v>1</v>
      </c>
      <c r="N49" s="31">
        <f t="shared" si="4"/>
        <v>1</v>
      </c>
    </row>
    <row r="50" spans="1:14" ht="12.75" customHeight="1" x14ac:dyDescent="0.2">
      <c r="A50" s="16">
        <v>45850</v>
      </c>
      <c r="B50" s="8" t="s">
        <v>170</v>
      </c>
      <c r="C50" s="8">
        <v>4</v>
      </c>
      <c r="D50" s="8" t="s">
        <v>188</v>
      </c>
      <c r="E50" s="14">
        <v>1</v>
      </c>
      <c r="F50" s="33">
        <v>1</v>
      </c>
      <c r="G50" s="30">
        <v>0.69236111111111109</v>
      </c>
      <c r="H50" s="24">
        <v>0.70833333333333326</v>
      </c>
      <c r="I50">
        <f t="shared" si="1"/>
        <v>4</v>
      </c>
      <c r="J50" s="20">
        <v>0.69722222222222219</v>
      </c>
      <c r="K50" s="4">
        <f t="shared" si="5"/>
        <v>4.8611111111110938E-3</v>
      </c>
      <c r="L50" s="26">
        <f t="shared" si="2"/>
        <v>6.9999999999999751</v>
      </c>
      <c r="M50" s="31">
        <f t="shared" si="3"/>
        <v>0</v>
      </c>
      <c r="N50" s="31">
        <f t="shared" si="4"/>
        <v>0</v>
      </c>
    </row>
    <row r="51" spans="1:14" ht="12.75" customHeight="1" x14ac:dyDescent="0.2">
      <c r="A51" s="16">
        <v>45851</v>
      </c>
      <c r="B51" s="8" t="s">
        <v>171</v>
      </c>
      <c r="C51" s="8">
        <v>9</v>
      </c>
      <c r="D51" s="8" t="s">
        <v>189</v>
      </c>
      <c r="E51" s="14">
        <v>1</v>
      </c>
      <c r="F51" s="33">
        <v>1</v>
      </c>
      <c r="G51" s="30">
        <v>9.8611111111111108E-2</v>
      </c>
      <c r="H51" s="24">
        <v>8.3333333333333329E-2</v>
      </c>
      <c r="I51">
        <f t="shared" si="1"/>
        <v>1</v>
      </c>
      <c r="J51" s="20">
        <v>0.10972222222222222</v>
      </c>
      <c r="K51" s="4">
        <f t="shared" si="5"/>
        <v>1.1111111111111113E-2</v>
      </c>
      <c r="L51" s="26">
        <f t="shared" si="2"/>
        <v>16.000000000000004</v>
      </c>
      <c r="M51" s="31">
        <f t="shared" si="3"/>
        <v>0</v>
      </c>
      <c r="N51" s="31">
        <f t="shared" si="4"/>
        <v>0</v>
      </c>
    </row>
    <row r="52" spans="1:14" ht="12.75" customHeight="1" x14ac:dyDescent="0.2">
      <c r="A52" s="16">
        <v>45851</v>
      </c>
      <c r="B52" s="8" t="s">
        <v>172</v>
      </c>
      <c r="C52" s="8">
        <v>10</v>
      </c>
      <c r="D52" s="8" t="s">
        <v>190</v>
      </c>
      <c r="E52" s="14">
        <v>1</v>
      </c>
      <c r="F52" s="33">
        <v>1</v>
      </c>
      <c r="G52" s="30">
        <v>0.29444444444444445</v>
      </c>
      <c r="H52" s="24">
        <v>0.29166666666666663</v>
      </c>
      <c r="I52">
        <f t="shared" si="1"/>
        <v>2</v>
      </c>
      <c r="J52" s="20">
        <v>0.30486111111111114</v>
      </c>
      <c r="K52" s="4">
        <f t="shared" si="5"/>
        <v>1.0416666666666685E-2</v>
      </c>
      <c r="L52" s="26">
        <f t="shared" si="2"/>
        <v>15.000000000000027</v>
      </c>
      <c r="M52" s="31">
        <f t="shared" si="3"/>
        <v>0</v>
      </c>
      <c r="N52" s="31">
        <f t="shared" si="4"/>
        <v>0</v>
      </c>
    </row>
    <row r="53" spans="1:14" ht="12.75" customHeight="1" x14ac:dyDescent="0.2">
      <c r="A53" s="16">
        <v>45854</v>
      </c>
      <c r="B53" s="8" t="s">
        <v>173</v>
      </c>
      <c r="C53" s="8">
        <v>4</v>
      </c>
      <c r="D53" s="8" t="s">
        <v>191</v>
      </c>
      <c r="E53" s="14">
        <v>1</v>
      </c>
      <c r="F53" s="33">
        <v>1</v>
      </c>
      <c r="G53" s="30">
        <v>0.77152777777777781</v>
      </c>
      <c r="H53" s="24">
        <v>0.79166666666666663</v>
      </c>
      <c r="I53">
        <f t="shared" si="1"/>
        <v>5</v>
      </c>
      <c r="J53" s="20">
        <v>0.81527777777777777</v>
      </c>
      <c r="K53" s="4">
        <f t="shared" si="5"/>
        <v>4.3749999999999956E-2</v>
      </c>
      <c r="L53" s="26">
        <f t="shared" si="2"/>
        <v>62.999999999999936</v>
      </c>
      <c r="M53" s="31">
        <f t="shared" si="3"/>
        <v>1</v>
      </c>
      <c r="N53" s="31">
        <f t="shared" si="4"/>
        <v>1</v>
      </c>
    </row>
    <row r="54" spans="1:14" ht="12.75" customHeight="1" x14ac:dyDescent="0.2">
      <c r="A54" s="16">
        <v>45857</v>
      </c>
      <c r="B54" s="8" t="s">
        <v>174</v>
      </c>
      <c r="C54" s="8">
        <v>3</v>
      </c>
      <c r="D54" s="8" t="s">
        <v>192</v>
      </c>
      <c r="E54" s="14">
        <v>5</v>
      </c>
      <c r="F54" s="33">
        <v>2</v>
      </c>
      <c r="G54" s="30">
        <v>0.72222222222222221</v>
      </c>
      <c r="H54" s="24">
        <v>0.70833333333333326</v>
      </c>
      <c r="I54">
        <f t="shared" si="1"/>
        <v>4</v>
      </c>
      <c r="J54" s="20">
        <v>0.73611111111111116</v>
      </c>
      <c r="K54" s="4">
        <f t="shared" si="5"/>
        <v>1.3888888888888951E-2</v>
      </c>
      <c r="L54" s="26">
        <f t="shared" si="2"/>
        <v>20.000000000000089</v>
      </c>
      <c r="M54" s="31">
        <f t="shared" si="3"/>
        <v>1</v>
      </c>
      <c r="N54" s="31">
        <f t="shared" si="4"/>
        <v>0</v>
      </c>
    </row>
    <row r="55" spans="1:14" ht="12.75" customHeight="1" x14ac:dyDescent="0.2">
      <c r="A55" s="16">
        <v>45857</v>
      </c>
      <c r="B55" s="8" t="s">
        <v>175</v>
      </c>
      <c r="C55" s="8">
        <v>6</v>
      </c>
      <c r="D55" s="8" t="s">
        <v>193</v>
      </c>
      <c r="E55" s="14">
        <v>1</v>
      </c>
      <c r="F55" s="33">
        <v>1</v>
      </c>
      <c r="G55" s="30">
        <v>0.86250000000000004</v>
      </c>
      <c r="H55" s="24">
        <v>0.875</v>
      </c>
      <c r="I55">
        <f t="shared" si="1"/>
        <v>5</v>
      </c>
      <c r="J55" s="20">
        <v>0.86597222222222225</v>
      </c>
      <c r="K55" s="4">
        <f t="shared" si="5"/>
        <v>3.4722222222222099E-3</v>
      </c>
      <c r="L55" s="26">
        <f t="shared" si="2"/>
        <v>4.9999999999999822</v>
      </c>
      <c r="M55" s="31">
        <f t="shared" si="3"/>
        <v>0</v>
      </c>
      <c r="N55" s="31">
        <f t="shared" si="4"/>
        <v>0</v>
      </c>
    </row>
    <row r="56" spans="1:14" ht="12.75" customHeight="1" x14ac:dyDescent="0.2">
      <c r="A56" s="16">
        <v>45857</v>
      </c>
      <c r="B56" s="8" t="s">
        <v>176</v>
      </c>
      <c r="C56" s="8">
        <v>10</v>
      </c>
      <c r="D56" s="8" t="s">
        <v>194</v>
      </c>
      <c r="E56" s="14">
        <v>1</v>
      </c>
      <c r="F56" s="33">
        <v>1</v>
      </c>
      <c r="G56" s="30">
        <v>0.96388888888888891</v>
      </c>
      <c r="H56" s="24">
        <v>0.95833333333333326</v>
      </c>
      <c r="I56">
        <f t="shared" si="1"/>
        <v>6</v>
      </c>
      <c r="J56" s="20">
        <v>0.96666666666666667</v>
      </c>
      <c r="K56" s="4">
        <f t="shared" si="5"/>
        <v>2.7777777777777679E-3</v>
      </c>
      <c r="L56" s="26">
        <f t="shared" si="2"/>
        <v>3.9999999999999858</v>
      </c>
      <c r="M56" s="31">
        <f t="shared" si="3"/>
        <v>0</v>
      </c>
      <c r="N56" s="31">
        <f t="shared" si="4"/>
        <v>0</v>
      </c>
    </row>
    <row r="57" spans="1:14" ht="12.75" customHeight="1" x14ac:dyDescent="0.2">
      <c r="A57" s="16">
        <v>45857</v>
      </c>
      <c r="B57" s="8" t="s">
        <v>177</v>
      </c>
      <c r="C57" s="8">
        <v>5</v>
      </c>
      <c r="D57" s="8" t="s">
        <v>195</v>
      </c>
      <c r="E57" s="14">
        <v>1</v>
      </c>
      <c r="F57" s="33">
        <v>1</v>
      </c>
      <c r="G57" s="30">
        <v>0.26180555555555557</v>
      </c>
      <c r="H57" s="24">
        <v>0.25</v>
      </c>
      <c r="I57">
        <f t="shared" si="1"/>
        <v>2</v>
      </c>
      <c r="J57" s="20">
        <v>0.27847222222222223</v>
      </c>
      <c r="K57" s="4">
        <f t="shared" si="5"/>
        <v>1.6666666666666663E-2</v>
      </c>
      <c r="L57" s="26">
        <f t="shared" si="2"/>
        <v>23.999999999999993</v>
      </c>
      <c r="M57" s="31">
        <f t="shared" si="3"/>
        <v>1</v>
      </c>
      <c r="N57" s="31">
        <f t="shared" si="4"/>
        <v>0</v>
      </c>
    </row>
    <row r="58" spans="1:14" ht="12.75" customHeight="1" x14ac:dyDescent="0.2">
      <c r="A58" s="16">
        <v>45859</v>
      </c>
      <c r="B58" s="8" t="s">
        <v>178</v>
      </c>
      <c r="C58" s="8">
        <v>5</v>
      </c>
      <c r="D58" s="8" t="s">
        <v>196</v>
      </c>
      <c r="E58" s="14">
        <v>1</v>
      </c>
      <c r="F58" s="33">
        <v>1</v>
      </c>
      <c r="G58" s="30">
        <v>0.56388888888888888</v>
      </c>
      <c r="H58" s="24">
        <v>0.58333333333333326</v>
      </c>
      <c r="I58">
        <f t="shared" si="1"/>
        <v>4</v>
      </c>
      <c r="J58" s="20">
        <v>0.56874999999999998</v>
      </c>
      <c r="K58" s="4">
        <f t="shared" si="5"/>
        <v>4.8611111111110938E-3</v>
      </c>
      <c r="L58" s="26">
        <f t="shared" si="2"/>
        <v>6.9999999999999751</v>
      </c>
      <c r="M58" s="31">
        <f t="shared" si="3"/>
        <v>0</v>
      </c>
      <c r="N58" s="31">
        <f t="shared" si="4"/>
        <v>0</v>
      </c>
    </row>
    <row r="59" spans="1:14" ht="12.75" customHeight="1" x14ac:dyDescent="0.2">
      <c r="A59" s="16">
        <v>45861</v>
      </c>
      <c r="B59" s="8" t="s">
        <v>179</v>
      </c>
      <c r="C59" s="8">
        <v>4</v>
      </c>
      <c r="D59" s="8" t="s">
        <v>197</v>
      </c>
      <c r="E59" s="14">
        <v>1</v>
      </c>
      <c r="F59" s="33">
        <v>1</v>
      </c>
      <c r="G59" s="30">
        <v>0.41666666666666669</v>
      </c>
      <c r="H59" s="24">
        <v>0.41666666666666663</v>
      </c>
      <c r="I59">
        <f t="shared" si="1"/>
        <v>3</v>
      </c>
      <c r="J59" s="20">
        <v>0.42083333333333334</v>
      </c>
      <c r="K59" s="4">
        <f t="shared" si="5"/>
        <v>4.1666666666666519E-3</v>
      </c>
      <c r="L59" s="26">
        <f t="shared" si="2"/>
        <v>5.9999999999999787</v>
      </c>
      <c r="M59" s="31">
        <f t="shared" si="3"/>
        <v>0</v>
      </c>
      <c r="N59" s="31">
        <f t="shared" si="4"/>
        <v>0</v>
      </c>
    </row>
    <row r="60" spans="1:14" ht="12.75" customHeight="1" x14ac:dyDescent="0.2">
      <c r="A60" s="16">
        <v>45863</v>
      </c>
      <c r="B60" s="8" t="s">
        <v>180</v>
      </c>
      <c r="C60" s="8">
        <v>9</v>
      </c>
      <c r="D60" s="8" t="s">
        <v>198</v>
      </c>
      <c r="E60" s="14">
        <v>3</v>
      </c>
      <c r="F60" s="33">
        <v>2</v>
      </c>
      <c r="G60" s="27">
        <v>0.36388888888888887</v>
      </c>
      <c r="H60" s="24">
        <v>0.375</v>
      </c>
      <c r="I60">
        <f t="shared" si="1"/>
        <v>2</v>
      </c>
      <c r="J60" s="9">
        <v>0.44722222222222224</v>
      </c>
      <c r="K60" s="4">
        <f t="shared" si="5"/>
        <v>8.333333333333337E-2</v>
      </c>
      <c r="L60" s="26">
        <f t="shared" si="2"/>
        <v>120.00000000000006</v>
      </c>
      <c r="M60" s="31">
        <f t="shared" si="3"/>
        <v>1</v>
      </c>
      <c r="N60" s="31">
        <f t="shared" si="4"/>
        <v>1</v>
      </c>
    </row>
    <row r="61" spans="1:14" ht="12.75" customHeight="1" x14ac:dyDescent="0.2">
      <c r="A61" s="21">
        <v>45870</v>
      </c>
      <c r="B61" s="3" t="s">
        <v>10</v>
      </c>
      <c r="C61" s="3">
        <v>10</v>
      </c>
      <c r="D61" s="8" t="s">
        <v>11</v>
      </c>
      <c r="E61" s="14">
        <v>1</v>
      </c>
      <c r="F61" s="33">
        <v>1</v>
      </c>
      <c r="G61" s="27">
        <v>0.33194444444444443</v>
      </c>
      <c r="H61" s="24">
        <v>0.33333333333333331</v>
      </c>
      <c r="I61">
        <f t="shared" si="1"/>
        <v>2</v>
      </c>
      <c r="J61" s="9">
        <v>0.4375</v>
      </c>
      <c r="K61" s="4">
        <f t="shared" si="5"/>
        <v>0.10555555555555557</v>
      </c>
      <c r="L61" s="26">
        <f t="shared" si="2"/>
        <v>152.00000000000003</v>
      </c>
      <c r="M61" s="31">
        <f t="shared" si="3"/>
        <v>1</v>
      </c>
      <c r="N61" s="31">
        <f t="shared" si="4"/>
        <v>1</v>
      </c>
    </row>
    <row r="62" spans="1:14" ht="12.75" customHeight="1" x14ac:dyDescent="0.2">
      <c r="A62" s="21">
        <v>45870</v>
      </c>
      <c r="B62" s="3" t="s">
        <v>13</v>
      </c>
      <c r="C62" s="3">
        <v>4</v>
      </c>
      <c r="D62" s="12" t="s">
        <v>14</v>
      </c>
      <c r="E62" s="14">
        <v>1</v>
      </c>
      <c r="F62" s="33">
        <v>1</v>
      </c>
      <c r="G62" s="27">
        <v>0.58958333333333335</v>
      </c>
      <c r="H62" s="24">
        <v>0.58333333333333326</v>
      </c>
      <c r="I62">
        <f t="shared" si="1"/>
        <v>4</v>
      </c>
      <c r="J62" s="9">
        <v>0.60555555555555551</v>
      </c>
      <c r="K62" s="4">
        <f t="shared" si="5"/>
        <v>1.5972222222222165E-2</v>
      </c>
      <c r="L62" s="26">
        <f t="shared" si="2"/>
        <v>22.999999999999918</v>
      </c>
      <c r="M62" s="31">
        <f t="shared" si="3"/>
        <v>1</v>
      </c>
      <c r="N62" s="31">
        <f t="shared" si="4"/>
        <v>0</v>
      </c>
    </row>
    <row r="63" spans="1:14" ht="12.75" customHeight="1" x14ac:dyDescent="0.2">
      <c r="A63" s="21">
        <v>45871</v>
      </c>
      <c r="B63" s="3" t="s">
        <v>15</v>
      </c>
      <c r="C63" s="3">
        <v>1</v>
      </c>
      <c r="D63" s="8" t="s">
        <v>16</v>
      </c>
      <c r="E63" s="14">
        <v>1</v>
      </c>
      <c r="F63" s="33">
        <v>1</v>
      </c>
      <c r="G63" s="27">
        <v>0.26666666666666666</v>
      </c>
      <c r="H63" s="24">
        <v>0.25</v>
      </c>
      <c r="I63">
        <f t="shared" si="1"/>
        <v>2</v>
      </c>
      <c r="J63" s="9">
        <v>0.27013888888888887</v>
      </c>
      <c r="K63" s="4">
        <f t="shared" si="5"/>
        <v>3.4722222222222099E-3</v>
      </c>
      <c r="L63" s="26">
        <f t="shared" si="2"/>
        <v>4.9999999999999822</v>
      </c>
      <c r="M63" s="31">
        <f t="shared" si="3"/>
        <v>0</v>
      </c>
      <c r="N63" s="31">
        <f t="shared" si="4"/>
        <v>0</v>
      </c>
    </row>
    <row r="64" spans="1:14" ht="12.75" customHeight="1" x14ac:dyDescent="0.2">
      <c r="A64" s="21">
        <v>45875</v>
      </c>
      <c r="B64" s="3" t="s">
        <v>17</v>
      </c>
      <c r="C64" s="3">
        <v>3</v>
      </c>
      <c r="D64" s="8" t="s">
        <v>18</v>
      </c>
      <c r="E64" s="14">
        <v>1</v>
      </c>
      <c r="F64" s="33">
        <v>1</v>
      </c>
      <c r="G64" s="27">
        <v>0.38750000000000001</v>
      </c>
      <c r="H64" s="24">
        <v>0.375</v>
      </c>
      <c r="I64">
        <f t="shared" si="1"/>
        <v>2</v>
      </c>
      <c r="J64" s="9">
        <v>0.40277777777777779</v>
      </c>
      <c r="K64" s="4">
        <f t="shared" ref="K64:K88" si="6">J64-G64</f>
        <v>1.5277777777777779E-2</v>
      </c>
      <c r="L64" s="26">
        <f t="shared" si="2"/>
        <v>22</v>
      </c>
      <c r="M64" s="31">
        <f t="shared" si="3"/>
        <v>1</v>
      </c>
      <c r="N64" s="31">
        <f t="shared" si="4"/>
        <v>0</v>
      </c>
    </row>
    <row r="65" spans="1:14" ht="12.75" customHeight="1" x14ac:dyDescent="0.2">
      <c r="A65" s="21">
        <v>45875</v>
      </c>
      <c r="B65" s="3" t="s">
        <v>19</v>
      </c>
      <c r="C65" s="3">
        <v>6</v>
      </c>
      <c r="D65" s="8" t="s">
        <v>20</v>
      </c>
      <c r="E65" s="14">
        <v>1</v>
      </c>
      <c r="F65" s="33">
        <v>1</v>
      </c>
      <c r="G65" s="27">
        <v>0.6430555555555556</v>
      </c>
      <c r="H65" s="24">
        <v>0.625</v>
      </c>
      <c r="I65">
        <f t="shared" ref="I65:I121" si="7">IF(H65&gt;0.88,6,IF(H65&gt;0.71,5,IF(H65&gt;0.54,4,IF(H65&gt;0.38,3,IF(H65&gt;0.21,2,1)))))</f>
        <v>4</v>
      </c>
      <c r="J65" s="9">
        <v>0.64513888888888893</v>
      </c>
      <c r="K65" s="4">
        <f t="shared" si="6"/>
        <v>2.0833333333333259E-3</v>
      </c>
      <c r="L65" s="26">
        <f t="shared" ref="L65:L121" si="8">K65*1440</f>
        <v>2.9999999999999893</v>
      </c>
      <c r="M65" s="31">
        <f t="shared" si="3"/>
        <v>0</v>
      </c>
      <c r="N65" s="31">
        <f t="shared" si="4"/>
        <v>0</v>
      </c>
    </row>
    <row r="66" spans="1:14" ht="12.75" customHeight="1" x14ac:dyDescent="0.2">
      <c r="A66" s="21">
        <v>45876</v>
      </c>
      <c r="B66" s="3" t="s">
        <v>21</v>
      </c>
      <c r="C66" s="3">
        <v>2</v>
      </c>
      <c r="D66" s="8" t="s">
        <v>22</v>
      </c>
      <c r="E66" s="14">
        <v>1</v>
      </c>
      <c r="F66" s="33">
        <v>1</v>
      </c>
      <c r="G66" s="27">
        <v>0.61597222222222225</v>
      </c>
      <c r="H66" s="24">
        <v>0.625</v>
      </c>
      <c r="I66">
        <f t="shared" si="7"/>
        <v>4</v>
      </c>
      <c r="J66" s="9">
        <v>0.63680555555555551</v>
      </c>
      <c r="K66" s="4">
        <f t="shared" si="6"/>
        <v>2.0833333333333259E-2</v>
      </c>
      <c r="L66" s="26">
        <f t="shared" si="8"/>
        <v>29.999999999999893</v>
      </c>
      <c r="M66" s="31">
        <f t="shared" si="3"/>
        <v>1</v>
      </c>
      <c r="N66" s="31">
        <f t="shared" si="4"/>
        <v>0</v>
      </c>
    </row>
    <row r="67" spans="1:14" ht="12.75" customHeight="1" x14ac:dyDescent="0.2">
      <c r="A67" s="21">
        <v>45879</v>
      </c>
      <c r="B67" s="3" t="s">
        <v>23</v>
      </c>
      <c r="C67" s="3">
        <v>7</v>
      </c>
      <c r="D67" s="8" t="s">
        <v>24</v>
      </c>
      <c r="E67" s="14">
        <v>1</v>
      </c>
      <c r="F67" s="33">
        <v>1</v>
      </c>
      <c r="G67" s="27">
        <v>0.95694444444444449</v>
      </c>
      <c r="H67" s="24">
        <v>0.95833333333333326</v>
      </c>
      <c r="I67">
        <f t="shared" si="7"/>
        <v>6</v>
      </c>
      <c r="J67" s="9">
        <v>0.97916666666666663</v>
      </c>
      <c r="K67" s="4">
        <f t="shared" si="6"/>
        <v>2.2222222222222143E-2</v>
      </c>
      <c r="L67" s="26">
        <f t="shared" si="8"/>
        <v>31.999999999999886</v>
      </c>
      <c r="M67" s="31">
        <f t="shared" ref="M67:M121" si="9">IF(L67&gt;20,1,0)</f>
        <v>1</v>
      </c>
      <c r="N67" s="31">
        <f t="shared" ref="N67:N121" si="10">IF(L67&gt;40,1,0)</f>
        <v>0</v>
      </c>
    </row>
    <row r="68" spans="1:14" ht="12.75" customHeight="1" x14ac:dyDescent="0.2">
      <c r="A68" s="21">
        <v>45880</v>
      </c>
      <c r="B68" s="3" t="s">
        <v>25</v>
      </c>
      <c r="C68" s="3">
        <v>7</v>
      </c>
      <c r="D68" s="8" t="s">
        <v>271</v>
      </c>
      <c r="E68" s="14">
        <v>1</v>
      </c>
      <c r="F68" s="33">
        <v>1</v>
      </c>
      <c r="G68" s="27">
        <v>2.7777777777777776E-2</v>
      </c>
      <c r="H68" s="24">
        <v>4.1666666666666664E-2</v>
      </c>
      <c r="I68">
        <f t="shared" si="7"/>
        <v>1</v>
      </c>
      <c r="J68" s="9">
        <v>3.7499999999999999E-2</v>
      </c>
      <c r="K68" s="4">
        <f t="shared" si="6"/>
        <v>9.7222222222222224E-3</v>
      </c>
      <c r="L68" s="26">
        <f t="shared" si="8"/>
        <v>14</v>
      </c>
      <c r="M68" s="31">
        <f t="shared" si="9"/>
        <v>0</v>
      </c>
      <c r="N68" s="31">
        <f t="shared" si="10"/>
        <v>0</v>
      </c>
    </row>
    <row r="69" spans="1:14" ht="12.75" customHeight="1" x14ac:dyDescent="0.2">
      <c r="A69" s="21">
        <v>45880</v>
      </c>
      <c r="B69" s="3" t="s">
        <v>26</v>
      </c>
      <c r="C69" s="3">
        <v>9</v>
      </c>
      <c r="D69" s="8" t="s">
        <v>27</v>
      </c>
      <c r="E69" s="14">
        <v>1</v>
      </c>
      <c r="F69" s="33">
        <v>1</v>
      </c>
      <c r="G69" s="27">
        <v>0.54652777777777772</v>
      </c>
      <c r="H69" s="24">
        <v>0.54166666666666663</v>
      </c>
      <c r="I69">
        <f t="shared" si="7"/>
        <v>4</v>
      </c>
      <c r="J69" s="9">
        <v>0.54791666666666672</v>
      </c>
      <c r="K69" s="4">
        <f t="shared" si="6"/>
        <v>1.388888888888995E-3</v>
      </c>
      <c r="L69" s="26">
        <f t="shared" si="8"/>
        <v>2.0000000000001528</v>
      </c>
      <c r="M69" s="31">
        <f t="shared" si="9"/>
        <v>0</v>
      </c>
      <c r="N69" s="31">
        <f t="shared" si="10"/>
        <v>0</v>
      </c>
    </row>
    <row r="70" spans="1:14" ht="12.75" customHeight="1" x14ac:dyDescent="0.2">
      <c r="A70" s="21">
        <v>45880</v>
      </c>
      <c r="B70" s="3" t="s">
        <v>28</v>
      </c>
      <c r="C70" s="3">
        <v>5</v>
      </c>
      <c r="D70" s="8" t="s">
        <v>29</v>
      </c>
      <c r="E70" s="14">
        <v>1</v>
      </c>
      <c r="F70" s="33">
        <v>1</v>
      </c>
      <c r="G70" s="27">
        <v>0.63263888888888886</v>
      </c>
      <c r="H70" s="24">
        <v>0.625</v>
      </c>
      <c r="I70">
        <f t="shared" si="7"/>
        <v>4</v>
      </c>
      <c r="J70" s="9">
        <v>0.72916666666666663</v>
      </c>
      <c r="K70" s="4">
        <f t="shared" si="6"/>
        <v>9.6527777777777768E-2</v>
      </c>
      <c r="L70" s="26">
        <f t="shared" si="8"/>
        <v>139</v>
      </c>
      <c r="M70" s="31">
        <f t="shared" si="9"/>
        <v>1</v>
      </c>
      <c r="N70" s="31">
        <f t="shared" si="10"/>
        <v>1</v>
      </c>
    </row>
    <row r="71" spans="1:14" ht="12.75" customHeight="1" x14ac:dyDescent="0.2">
      <c r="A71" s="21">
        <v>45882</v>
      </c>
      <c r="B71" s="3" t="s">
        <v>30</v>
      </c>
      <c r="C71" s="3">
        <v>10</v>
      </c>
      <c r="D71" s="8" t="s">
        <v>31</v>
      </c>
      <c r="E71" s="14">
        <v>1</v>
      </c>
      <c r="F71" s="33">
        <v>1</v>
      </c>
      <c r="G71" s="27">
        <v>0.12916666666666668</v>
      </c>
      <c r="H71" s="24">
        <v>0.125</v>
      </c>
      <c r="I71">
        <f t="shared" si="7"/>
        <v>1</v>
      </c>
      <c r="J71" s="9">
        <v>0.17222222222222222</v>
      </c>
      <c r="K71" s="4">
        <f t="shared" si="6"/>
        <v>4.3055555555555541E-2</v>
      </c>
      <c r="L71" s="26">
        <f t="shared" si="8"/>
        <v>61.999999999999979</v>
      </c>
      <c r="M71" s="31">
        <f t="shared" si="9"/>
        <v>1</v>
      </c>
      <c r="N71" s="31">
        <f t="shared" si="10"/>
        <v>1</v>
      </c>
    </row>
    <row r="72" spans="1:14" ht="12.75" customHeight="1" x14ac:dyDescent="0.2">
      <c r="A72" s="21">
        <v>45882</v>
      </c>
      <c r="B72" s="3" t="s">
        <v>32</v>
      </c>
      <c r="C72" s="3">
        <v>4</v>
      </c>
      <c r="D72" s="8" t="s">
        <v>33</v>
      </c>
      <c r="E72" s="14">
        <v>1</v>
      </c>
      <c r="F72" s="33">
        <v>1</v>
      </c>
      <c r="G72" s="27">
        <v>0.67152777777777772</v>
      </c>
      <c r="H72" s="24">
        <v>0.66666666666666663</v>
      </c>
      <c r="I72">
        <f t="shared" si="7"/>
        <v>4</v>
      </c>
      <c r="J72" s="9">
        <v>0.70347222222222228</v>
      </c>
      <c r="K72" s="4">
        <f t="shared" si="6"/>
        <v>3.1944444444444553E-2</v>
      </c>
      <c r="L72" s="26">
        <f t="shared" si="8"/>
        <v>46.000000000000156</v>
      </c>
      <c r="M72" s="31">
        <f t="shared" si="9"/>
        <v>1</v>
      </c>
      <c r="N72" s="31">
        <f t="shared" si="10"/>
        <v>1</v>
      </c>
    </row>
    <row r="73" spans="1:14" ht="12.75" customHeight="1" x14ac:dyDescent="0.2">
      <c r="A73" s="21">
        <v>45882</v>
      </c>
      <c r="B73" s="3" t="s">
        <v>34</v>
      </c>
      <c r="C73" s="3">
        <v>4</v>
      </c>
      <c r="D73" s="8" t="s">
        <v>35</v>
      </c>
      <c r="E73" s="14">
        <v>1</v>
      </c>
      <c r="F73" s="33">
        <v>1</v>
      </c>
      <c r="G73" s="27">
        <v>0.80138888888888893</v>
      </c>
      <c r="H73" s="24">
        <v>0.79166666666666663</v>
      </c>
      <c r="I73">
        <f t="shared" si="7"/>
        <v>5</v>
      </c>
      <c r="J73" s="9">
        <v>0.81041666666666667</v>
      </c>
      <c r="K73" s="4">
        <f t="shared" si="6"/>
        <v>9.0277777777777457E-3</v>
      </c>
      <c r="L73" s="26">
        <f t="shared" si="8"/>
        <v>12.999999999999954</v>
      </c>
      <c r="M73" s="31">
        <f t="shared" si="9"/>
        <v>0</v>
      </c>
      <c r="N73" s="31">
        <f t="shared" si="10"/>
        <v>0</v>
      </c>
    </row>
    <row r="74" spans="1:14" ht="12.75" customHeight="1" x14ac:dyDescent="0.2">
      <c r="A74" s="21">
        <v>45884</v>
      </c>
      <c r="B74" s="3" t="s">
        <v>38</v>
      </c>
      <c r="C74" s="3">
        <v>3</v>
      </c>
      <c r="D74" s="8" t="s">
        <v>39</v>
      </c>
      <c r="E74" s="14">
        <v>1</v>
      </c>
      <c r="F74" s="33">
        <v>1</v>
      </c>
      <c r="G74" s="27">
        <v>0.57013888888888886</v>
      </c>
      <c r="H74" s="24">
        <v>0.58333333333333326</v>
      </c>
      <c r="I74">
        <f t="shared" si="7"/>
        <v>4</v>
      </c>
      <c r="J74" s="9">
        <v>0.57499999999999996</v>
      </c>
      <c r="K74" s="4">
        <f t="shared" si="6"/>
        <v>4.8611111111110938E-3</v>
      </c>
      <c r="L74" s="26">
        <f t="shared" si="8"/>
        <v>6.9999999999999751</v>
      </c>
      <c r="M74" s="31">
        <f t="shared" si="9"/>
        <v>0</v>
      </c>
      <c r="N74" s="31">
        <f t="shared" si="10"/>
        <v>0</v>
      </c>
    </row>
    <row r="75" spans="1:14" ht="12.75" customHeight="1" x14ac:dyDescent="0.2">
      <c r="A75" s="21">
        <v>45885</v>
      </c>
      <c r="B75" s="3" t="s">
        <v>40</v>
      </c>
      <c r="C75" s="3">
        <v>10</v>
      </c>
      <c r="D75" s="8" t="s">
        <v>41</v>
      </c>
      <c r="E75" s="14">
        <v>1</v>
      </c>
      <c r="F75" s="33">
        <v>1</v>
      </c>
      <c r="G75" s="27">
        <v>0.24583333333333332</v>
      </c>
      <c r="H75" s="24">
        <v>0.25</v>
      </c>
      <c r="I75">
        <f t="shared" si="7"/>
        <v>2</v>
      </c>
      <c r="J75" s="9">
        <v>0.28958333333333336</v>
      </c>
      <c r="K75" s="4">
        <f t="shared" si="6"/>
        <v>4.3750000000000039E-2</v>
      </c>
      <c r="L75" s="26">
        <f t="shared" si="8"/>
        <v>63.000000000000057</v>
      </c>
      <c r="M75" s="31">
        <f t="shared" si="9"/>
        <v>1</v>
      </c>
      <c r="N75" s="31">
        <f t="shared" si="10"/>
        <v>1</v>
      </c>
    </row>
    <row r="76" spans="1:14" ht="12.75" customHeight="1" x14ac:dyDescent="0.2">
      <c r="A76" s="21">
        <v>45887</v>
      </c>
      <c r="B76" s="3" t="s">
        <v>42</v>
      </c>
      <c r="C76" s="3">
        <v>6</v>
      </c>
      <c r="D76" s="8" t="s">
        <v>43</v>
      </c>
      <c r="E76" s="14">
        <v>1</v>
      </c>
      <c r="F76" s="33">
        <v>1</v>
      </c>
      <c r="G76" s="27">
        <v>0.4826388888888889</v>
      </c>
      <c r="H76" s="24">
        <v>0.5</v>
      </c>
      <c r="I76">
        <f t="shared" si="7"/>
        <v>3</v>
      </c>
      <c r="J76" s="9">
        <v>0.48402777777777778</v>
      </c>
      <c r="K76" s="4">
        <f t="shared" si="6"/>
        <v>1.388888888888884E-3</v>
      </c>
      <c r="L76" s="26">
        <f t="shared" si="8"/>
        <v>1.9999999999999929</v>
      </c>
      <c r="M76" s="31">
        <f t="shared" si="9"/>
        <v>0</v>
      </c>
      <c r="N76" s="31">
        <f t="shared" si="10"/>
        <v>0</v>
      </c>
    </row>
    <row r="77" spans="1:14" ht="12.75" customHeight="1" x14ac:dyDescent="0.2">
      <c r="A77" s="21">
        <v>45888</v>
      </c>
      <c r="B77" s="3" t="s">
        <v>44</v>
      </c>
      <c r="C77" s="3">
        <v>9</v>
      </c>
      <c r="D77" s="8" t="s">
        <v>45</v>
      </c>
      <c r="E77" s="14">
        <v>1</v>
      </c>
      <c r="F77" s="33">
        <v>1</v>
      </c>
      <c r="G77" s="27">
        <v>0.46388888888888891</v>
      </c>
      <c r="H77" s="24">
        <v>0.45833333333333331</v>
      </c>
      <c r="I77">
        <f t="shared" si="7"/>
        <v>3</v>
      </c>
      <c r="J77" s="9">
        <v>0.46458333333333335</v>
      </c>
      <c r="K77" s="4">
        <f t="shared" si="6"/>
        <v>6.9444444444444198E-4</v>
      </c>
      <c r="L77" s="26">
        <f t="shared" si="8"/>
        <v>0.99999999999999645</v>
      </c>
      <c r="M77" s="31">
        <f t="shared" si="9"/>
        <v>0</v>
      </c>
      <c r="N77" s="31">
        <f t="shared" si="10"/>
        <v>0</v>
      </c>
    </row>
    <row r="78" spans="1:14" ht="12.75" customHeight="1" x14ac:dyDescent="0.2">
      <c r="A78" s="21">
        <v>45888</v>
      </c>
      <c r="B78" s="3" t="s">
        <v>46</v>
      </c>
      <c r="C78" s="3">
        <v>2</v>
      </c>
      <c r="D78" s="8" t="s">
        <v>47</v>
      </c>
      <c r="E78" s="14">
        <v>1</v>
      </c>
      <c r="F78" s="33">
        <v>1</v>
      </c>
      <c r="G78" s="27">
        <v>0.5854166666666667</v>
      </c>
      <c r="H78" s="24">
        <v>0.58333333333333326</v>
      </c>
      <c r="I78">
        <f t="shared" si="7"/>
        <v>4</v>
      </c>
      <c r="J78" s="9">
        <v>0.59027777777777779</v>
      </c>
      <c r="K78" s="4">
        <f t="shared" si="6"/>
        <v>4.8611111111110938E-3</v>
      </c>
      <c r="L78" s="26">
        <f t="shared" si="8"/>
        <v>6.9999999999999751</v>
      </c>
      <c r="M78" s="31">
        <f t="shared" si="9"/>
        <v>0</v>
      </c>
      <c r="N78" s="31">
        <f t="shared" si="10"/>
        <v>0</v>
      </c>
    </row>
    <row r="79" spans="1:14" ht="12.75" customHeight="1" x14ac:dyDescent="0.2">
      <c r="A79" s="21">
        <v>45890</v>
      </c>
      <c r="B79" s="3" t="s">
        <v>48</v>
      </c>
      <c r="C79" s="3">
        <v>5</v>
      </c>
      <c r="D79" s="8" t="s">
        <v>49</v>
      </c>
      <c r="E79" s="14">
        <v>1</v>
      </c>
      <c r="F79" s="33">
        <v>1</v>
      </c>
      <c r="G79" s="27">
        <v>0.57013888888888886</v>
      </c>
      <c r="H79" s="24">
        <v>0.58333333333333326</v>
      </c>
      <c r="I79">
        <f t="shared" si="7"/>
        <v>4</v>
      </c>
      <c r="J79" s="9">
        <v>0.58194444444444449</v>
      </c>
      <c r="K79" s="4">
        <f t="shared" si="6"/>
        <v>1.1805555555555625E-2</v>
      </c>
      <c r="L79" s="26">
        <f t="shared" si="8"/>
        <v>17.000000000000099</v>
      </c>
      <c r="M79" s="31">
        <f t="shared" si="9"/>
        <v>0</v>
      </c>
      <c r="N79" s="31">
        <f t="shared" si="10"/>
        <v>0</v>
      </c>
    </row>
    <row r="80" spans="1:14" ht="12.75" customHeight="1" x14ac:dyDescent="0.2">
      <c r="A80" s="21">
        <v>45892</v>
      </c>
      <c r="B80" s="3" t="s">
        <v>50</v>
      </c>
      <c r="C80" s="3">
        <v>6</v>
      </c>
      <c r="D80" s="8" t="s">
        <v>51</v>
      </c>
      <c r="E80" s="14">
        <v>1</v>
      </c>
      <c r="F80" s="33">
        <v>1</v>
      </c>
      <c r="G80" s="27">
        <v>0.54374999999999996</v>
      </c>
      <c r="H80" s="24">
        <v>0.54166666666666663</v>
      </c>
      <c r="I80">
        <f t="shared" si="7"/>
        <v>4</v>
      </c>
      <c r="J80" s="9">
        <v>0.57499999999999996</v>
      </c>
      <c r="K80" s="4">
        <f t="shared" si="6"/>
        <v>3.125E-2</v>
      </c>
      <c r="L80" s="26">
        <f t="shared" si="8"/>
        <v>45</v>
      </c>
      <c r="M80" s="31">
        <f t="shared" si="9"/>
        <v>1</v>
      </c>
      <c r="N80" s="31">
        <f t="shared" si="10"/>
        <v>1</v>
      </c>
    </row>
    <row r="81" spans="1:14" ht="12.75" customHeight="1" x14ac:dyDescent="0.2">
      <c r="A81" s="21">
        <v>45893</v>
      </c>
      <c r="B81" s="3" t="s">
        <v>52</v>
      </c>
      <c r="C81" s="3">
        <v>4</v>
      </c>
      <c r="D81" s="8" t="s">
        <v>53</v>
      </c>
      <c r="E81" s="14">
        <v>1</v>
      </c>
      <c r="F81" s="33">
        <v>1</v>
      </c>
      <c r="G81" s="27">
        <v>0.37152777777777779</v>
      </c>
      <c r="H81" s="24">
        <v>0.375</v>
      </c>
      <c r="I81">
        <f t="shared" si="7"/>
        <v>2</v>
      </c>
      <c r="J81" s="9">
        <v>0.37222222222222223</v>
      </c>
      <c r="K81" s="4">
        <f t="shared" si="6"/>
        <v>6.9444444444444198E-4</v>
      </c>
      <c r="L81" s="26">
        <f t="shared" si="8"/>
        <v>0.99999999999999645</v>
      </c>
      <c r="M81" s="31">
        <f t="shared" si="9"/>
        <v>0</v>
      </c>
      <c r="N81" s="31">
        <f t="shared" si="10"/>
        <v>0</v>
      </c>
    </row>
    <row r="82" spans="1:14" ht="12.75" customHeight="1" x14ac:dyDescent="0.2">
      <c r="A82" s="21">
        <v>45893</v>
      </c>
      <c r="B82" s="3" t="s">
        <v>54</v>
      </c>
      <c r="C82" s="3">
        <v>1</v>
      </c>
      <c r="D82" s="8" t="s">
        <v>55</v>
      </c>
      <c r="E82" s="14">
        <v>1</v>
      </c>
      <c r="F82" s="33">
        <v>1</v>
      </c>
      <c r="G82" s="27">
        <v>0.62083333333333335</v>
      </c>
      <c r="H82" s="24">
        <v>0.625</v>
      </c>
      <c r="I82">
        <f t="shared" si="7"/>
        <v>4</v>
      </c>
      <c r="J82" s="9">
        <v>0.62291666666666667</v>
      </c>
      <c r="K82" s="4">
        <f t="shared" si="6"/>
        <v>2.0833333333333259E-3</v>
      </c>
      <c r="L82" s="26">
        <f t="shared" si="8"/>
        <v>2.9999999999999893</v>
      </c>
      <c r="M82" s="31">
        <f t="shared" si="9"/>
        <v>0</v>
      </c>
      <c r="N82" s="31">
        <f t="shared" si="10"/>
        <v>0</v>
      </c>
    </row>
    <row r="83" spans="1:14" ht="12.75" customHeight="1" x14ac:dyDescent="0.2">
      <c r="A83" s="5">
        <v>45896</v>
      </c>
      <c r="B83" s="6" t="s">
        <v>56</v>
      </c>
      <c r="C83" s="6">
        <v>10</v>
      </c>
      <c r="D83" s="8" t="s">
        <v>57</v>
      </c>
      <c r="E83" s="14">
        <v>1</v>
      </c>
      <c r="F83" s="33">
        <v>1</v>
      </c>
      <c r="G83" s="27">
        <v>0.88263888888888886</v>
      </c>
      <c r="H83" s="24">
        <v>0.875</v>
      </c>
      <c r="I83">
        <f t="shared" si="7"/>
        <v>5</v>
      </c>
      <c r="J83" s="9">
        <v>0.91874999999999996</v>
      </c>
      <c r="K83" s="4">
        <f t="shared" si="6"/>
        <v>3.6111111111111094E-2</v>
      </c>
      <c r="L83" s="26">
        <f t="shared" si="8"/>
        <v>51.999999999999972</v>
      </c>
      <c r="M83" s="31">
        <f t="shared" si="9"/>
        <v>1</v>
      </c>
      <c r="N83" s="31">
        <f t="shared" si="10"/>
        <v>1</v>
      </c>
    </row>
    <row r="84" spans="1:14" ht="12.75" customHeight="1" x14ac:dyDescent="0.2">
      <c r="A84" s="5">
        <v>45897</v>
      </c>
      <c r="B84" s="6" t="s">
        <v>58</v>
      </c>
      <c r="C84" s="6">
        <v>4</v>
      </c>
      <c r="D84" s="8" t="s">
        <v>59</v>
      </c>
      <c r="E84" s="14">
        <v>1</v>
      </c>
      <c r="F84" s="33">
        <v>1</v>
      </c>
      <c r="G84" s="27">
        <v>0.63194444444444442</v>
      </c>
      <c r="H84" s="24">
        <v>0.625</v>
      </c>
      <c r="I84">
        <f t="shared" si="7"/>
        <v>4</v>
      </c>
      <c r="J84" s="9">
        <v>0.63958333333333328</v>
      </c>
      <c r="K84" s="4">
        <f t="shared" si="6"/>
        <v>7.6388888888888618E-3</v>
      </c>
      <c r="L84" s="26">
        <f t="shared" si="8"/>
        <v>10.999999999999961</v>
      </c>
      <c r="M84" s="31">
        <f t="shared" si="9"/>
        <v>0</v>
      </c>
      <c r="N84" s="31">
        <f t="shared" si="10"/>
        <v>0</v>
      </c>
    </row>
    <row r="85" spans="1:14" ht="12.75" customHeight="1" x14ac:dyDescent="0.2">
      <c r="A85" s="5">
        <v>45900</v>
      </c>
      <c r="B85" s="6" t="s">
        <v>60</v>
      </c>
      <c r="C85" s="6">
        <v>3</v>
      </c>
      <c r="D85" s="8" t="s">
        <v>61</v>
      </c>
      <c r="E85" s="14">
        <v>1</v>
      </c>
      <c r="F85" s="33">
        <v>1</v>
      </c>
      <c r="G85" s="27">
        <v>0.46041666666666664</v>
      </c>
      <c r="H85" s="24">
        <v>0.45833333333333331</v>
      </c>
      <c r="I85">
        <f t="shared" si="7"/>
        <v>3</v>
      </c>
      <c r="J85" s="9">
        <v>0.50486111111111109</v>
      </c>
      <c r="K85" s="4">
        <f t="shared" si="6"/>
        <v>4.4444444444444453E-2</v>
      </c>
      <c r="L85" s="26">
        <f t="shared" si="8"/>
        <v>64.000000000000014</v>
      </c>
      <c r="M85" s="31">
        <f t="shared" si="9"/>
        <v>1</v>
      </c>
      <c r="N85" s="31">
        <f t="shared" si="10"/>
        <v>1</v>
      </c>
    </row>
    <row r="86" spans="1:14" ht="12.75" customHeight="1" x14ac:dyDescent="0.2">
      <c r="A86" s="7">
        <v>45911</v>
      </c>
      <c r="B86" s="8" t="s">
        <v>254</v>
      </c>
      <c r="C86" s="8">
        <v>1</v>
      </c>
      <c r="D86" s="8" t="s">
        <v>255</v>
      </c>
      <c r="E86" s="14">
        <v>1</v>
      </c>
      <c r="F86" s="33">
        <v>1</v>
      </c>
      <c r="G86" s="30">
        <v>0.67013888888888884</v>
      </c>
      <c r="H86" s="24">
        <v>0.66666666666666663</v>
      </c>
      <c r="I86">
        <f t="shared" si="7"/>
        <v>4</v>
      </c>
      <c r="J86" s="20">
        <v>0.67291666666666672</v>
      </c>
      <c r="K86" s="4">
        <f t="shared" si="6"/>
        <v>2.7777777777778789E-3</v>
      </c>
      <c r="L86" s="26">
        <f t="shared" si="8"/>
        <v>4.0000000000001457</v>
      </c>
      <c r="M86" s="31">
        <f t="shared" si="9"/>
        <v>0</v>
      </c>
      <c r="N86" s="31">
        <f t="shared" si="10"/>
        <v>0</v>
      </c>
    </row>
    <row r="87" spans="1:14" ht="12.75" customHeight="1" x14ac:dyDescent="0.2">
      <c r="A87" s="7">
        <v>45916</v>
      </c>
      <c r="B87" s="8" t="s">
        <v>256</v>
      </c>
      <c r="C87" s="8">
        <v>1</v>
      </c>
      <c r="D87" s="8" t="s">
        <v>260</v>
      </c>
      <c r="E87" s="14">
        <v>2</v>
      </c>
      <c r="F87" s="33">
        <v>2</v>
      </c>
      <c r="G87" s="30">
        <v>0.40694444444444444</v>
      </c>
      <c r="H87" s="24">
        <v>0.41666666666666663</v>
      </c>
      <c r="I87">
        <f t="shared" si="7"/>
        <v>3</v>
      </c>
      <c r="J87" s="20">
        <v>0.48055555555555557</v>
      </c>
      <c r="K87" s="4">
        <f t="shared" si="6"/>
        <v>7.3611111111111127E-2</v>
      </c>
      <c r="L87" s="26">
        <f t="shared" si="8"/>
        <v>106.00000000000003</v>
      </c>
      <c r="M87" s="31">
        <f t="shared" si="9"/>
        <v>1</v>
      </c>
      <c r="N87" s="31">
        <f t="shared" si="10"/>
        <v>1</v>
      </c>
    </row>
    <row r="88" spans="1:14" ht="12.75" customHeight="1" x14ac:dyDescent="0.2">
      <c r="A88" s="7">
        <v>45918</v>
      </c>
      <c r="B88" s="8" t="s">
        <v>248</v>
      </c>
      <c r="C88" s="8">
        <v>1</v>
      </c>
      <c r="D88" s="8" t="s">
        <v>261</v>
      </c>
      <c r="E88" s="14">
        <v>1</v>
      </c>
      <c r="F88" s="33">
        <v>1</v>
      </c>
      <c r="G88" s="30">
        <v>0.70347222222222228</v>
      </c>
      <c r="H88" s="24">
        <v>0.70833333333333326</v>
      </c>
      <c r="I88">
        <f t="shared" si="7"/>
        <v>4</v>
      </c>
      <c r="J88" s="20">
        <v>0.75416666666666665</v>
      </c>
      <c r="K88" s="4">
        <f t="shared" si="6"/>
        <v>5.0694444444444375E-2</v>
      </c>
      <c r="L88" s="26">
        <f t="shared" si="8"/>
        <v>72.999999999999901</v>
      </c>
      <c r="M88" s="31">
        <f t="shared" si="9"/>
        <v>1</v>
      </c>
      <c r="N88" s="31">
        <f t="shared" si="10"/>
        <v>1</v>
      </c>
    </row>
    <row r="89" spans="1:14" ht="12.75" customHeight="1" x14ac:dyDescent="0.2">
      <c r="A89" s="7">
        <v>45918</v>
      </c>
      <c r="B89" s="8" t="s">
        <v>257</v>
      </c>
      <c r="C89" s="8">
        <v>8</v>
      </c>
      <c r="D89" s="8" t="s">
        <v>262</v>
      </c>
      <c r="E89" s="14">
        <v>1</v>
      </c>
      <c r="F89" s="33">
        <v>1</v>
      </c>
      <c r="G89" s="30">
        <v>0.99305555555555558</v>
      </c>
      <c r="H89" s="24">
        <v>1</v>
      </c>
      <c r="I89">
        <f t="shared" si="7"/>
        <v>6</v>
      </c>
      <c r="J89" s="20">
        <v>4.3055555555555555E-2</v>
      </c>
      <c r="K89" s="22">
        <v>0.05</v>
      </c>
      <c r="L89" s="26">
        <f t="shared" si="8"/>
        <v>72</v>
      </c>
      <c r="M89" s="31">
        <f t="shared" si="9"/>
        <v>1</v>
      </c>
      <c r="N89" s="31">
        <f t="shared" si="10"/>
        <v>1</v>
      </c>
    </row>
    <row r="90" spans="1:14" ht="12.75" customHeight="1" x14ac:dyDescent="0.2">
      <c r="A90" s="7">
        <v>45919</v>
      </c>
      <c r="B90" s="8" t="s">
        <v>249</v>
      </c>
      <c r="C90" s="8">
        <v>2</v>
      </c>
      <c r="D90" s="8" t="s">
        <v>263</v>
      </c>
      <c r="E90" s="14">
        <v>3</v>
      </c>
      <c r="F90" s="33">
        <v>2</v>
      </c>
      <c r="G90" s="30">
        <v>0.45694444444444443</v>
      </c>
      <c r="H90" s="24">
        <v>0.45833333333333331</v>
      </c>
      <c r="I90">
        <f t="shared" si="7"/>
        <v>3</v>
      </c>
      <c r="J90" s="20">
        <v>0.66874999999999996</v>
      </c>
      <c r="K90" s="4">
        <f t="shared" ref="K90:K95" si="11">J90-G90</f>
        <v>0.21180555555555552</v>
      </c>
      <c r="L90" s="26">
        <f t="shared" si="8"/>
        <v>304.99999999999994</v>
      </c>
      <c r="M90" s="31">
        <f t="shared" si="9"/>
        <v>1</v>
      </c>
      <c r="N90" s="31">
        <f t="shared" si="10"/>
        <v>1</v>
      </c>
    </row>
    <row r="91" spans="1:14" ht="12.75" customHeight="1" x14ac:dyDescent="0.2">
      <c r="A91" s="7">
        <v>45920</v>
      </c>
      <c r="B91" s="8" t="s">
        <v>250</v>
      </c>
      <c r="C91" s="8">
        <v>7</v>
      </c>
      <c r="D91" s="8" t="s">
        <v>264</v>
      </c>
      <c r="E91" s="14">
        <v>1</v>
      </c>
      <c r="F91" s="33">
        <v>1</v>
      </c>
      <c r="G91" s="30">
        <v>0.94097222222222221</v>
      </c>
      <c r="H91" s="24">
        <v>0.95833333333333326</v>
      </c>
      <c r="I91">
        <f t="shared" si="7"/>
        <v>6</v>
      </c>
      <c r="J91" s="20">
        <v>0.94930555555555551</v>
      </c>
      <c r="K91" s="4">
        <f t="shared" si="11"/>
        <v>8.3333333333333037E-3</v>
      </c>
      <c r="L91" s="26">
        <f t="shared" si="8"/>
        <v>11.999999999999957</v>
      </c>
      <c r="M91" s="31">
        <f t="shared" si="9"/>
        <v>0</v>
      </c>
      <c r="N91" s="31">
        <f t="shared" si="10"/>
        <v>0</v>
      </c>
    </row>
    <row r="92" spans="1:14" ht="12.75" customHeight="1" x14ac:dyDescent="0.2">
      <c r="A92" s="7">
        <v>45921</v>
      </c>
      <c r="B92" s="8" t="s">
        <v>251</v>
      </c>
      <c r="C92" s="8">
        <v>7</v>
      </c>
      <c r="D92" s="8" t="s">
        <v>265</v>
      </c>
      <c r="E92" s="14">
        <v>1</v>
      </c>
      <c r="F92" s="33">
        <v>1</v>
      </c>
      <c r="G92" s="30">
        <v>0.76111111111111107</v>
      </c>
      <c r="H92" s="24">
        <v>0.75</v>
      </c>
      <c r="I92">
        <f t="shared" si="7"/>
        <v>5</v>
      </c>
      <c r="J92" s="20">
        <v>0.76875000000000004</v>
      </c>
      <c r="K92" s="4">
        <f t="shared" si="11"/>
        <v>7.6388888888889728E-3</v>
      </c>
      <c r="L92" s="26">
        <f t="shared" si="8"/>
        <v>11.000000000000121</v>
      </c>
      <c r="M92" s="31">
        <f t="shared" si="9"/>
        <v>0</v>
      </c>
      <c r="N92" s="31">
        <f t="shared" si="10"/>
        <v>0</v>
      </c>
    </row>
    <row r="93" spans="1:14" ht="12.75" customHeight="1" x14ac:dyDescent="0.2">
      <c r="A93" s="7">
        <v>45923</v>
      </c>
      <c r="B93" s="8" t="s">
        <v>252</v>
      </c>
      <c r="C93" s="8">
        <v>10</v>
      </c>
      <c r="D93" s="8" t="s">
        <v>266</v>
      </c>
      <c r="E93" s="14">
        <v>1</v>
      </c>
      <c r="F93" s="33">
        <v>1</v>
      </c>
      <c r="G93" s="30">
        <v>0.61875000000000002</v>
      </c>
      <c r="H93" s="24">
        <v>0.625</v>
      </c>
      <c r="I93">
        <f t="shared" si="7"/>
        <v>4</v>
      </c>
      <c r="J93" s="20">
        <v>0.65138888888888891</v>
      </c>
      <c r="K93" s="4">
        <f t="shared" si="11"/>
        <v>3.2638888888888884E-2</v>
      </c>
      <c r="L93" s="26">
        <f t="shared" si="8"/>
        <v>46.999999999999993</v>
      </c>
      <c r="M93" s="31">
        <f t="shared" si="9"/>
        <v>1</v>
      </c>
      <c r="N93" s="31">
        <f t="shared" si="10"/>
        <v>1</v>
      </c>
    </row>
    <row r="94" spans="1:14" ht="12.75" customHeight="1" x14ac:dyDescent="0.2">
      <c r="A94" s="7">
        <v>45923</v>
      </c>
      <c r="B94" s="8" t="s">
        <v>258</v>
      </c>
      <c r="C94" s="8">
        <v>8</v>
      </c>
      <c r="D94" s="8" t="s">
        <v>267</v>
      </c>
      <c r="E94" s="14">
        <v>1</v>
      </c>
      <c r="F94" s="33">
        <v>1</v>
      </c>
      <c r="G94" s="30">
        <v>0.73333333333333328</v>
      </c>
      <c r="H94" s="24">
        <v>0.75</v>
      </c>
      <c r="I94">
        <f t="shared" si="7"/>
        <v>5</v>
      </c>
      <c r="J94" s="20">
        <v>0.74583333333333335</v>
      </c>
      <c r="K94" s="4">
        <f t="shared" si="11"/>
        <v>1.2500000000000067E-2</v>
      </c>
      <c r="L94" s="26">
        <f t="shared" si="8"/>
        <v>18.000000000000096</v>
      </c>
      <c r="M94" s="31">
        <f t="shared" si="9"/>
        <v>0</v>
      </c>
      <c r="N94" s="31">
        <f t="shared" si="10"/>
        <v>0</v>
      </c>
    </row>
    <row r="95" spans="1:14" ht="12.75" customHeight="1" x14ac:dyDescent="0.2">
      <c r="A95" s="7">
        <v>45924</v>
      </c>
      <c r="B95" s="8" t="s">
        <v>253</v>
      </c>
      <c r="C95" s="8">
        <v>6</v>
      </c>
      <c r="D95" s="8" t="s">
        <v>268</v>
      </c>
      <c r="E95" s="14">
        <v>1</v>
      </c>
      <c r="F95" s="33">
        <v>1</v>
      </c>
      <c r="G95" s="30">
        <v>0.3888888888888889</v>
      </c>
      <c r="H95" s="24">
        <v>0.375</v>
      </c>
      <c r="I95">
        <f t="shared" si="7"/>
        <v>2</v>
      </c>
      <c r="J95" s="20">
        <v>0.43819444444444444</v>
      </c>
      <c r="K95" s="4">
        <f t="shared" si="11"/>
        <v>4.9305555555555547E-2</v>
      </c>
      <c r="L95" s="26">
        <f t="shared" si="8"/>
        <v>70.999999999999986</v>
      </c>
      <c r="M95" s="31">
        <f t="shared" si="9"/>
        <v>1</v>
      </c>
      <c r="N95" s="31">
        <f t="shared" si="10"/>
        <v>1</v>
      </c>
    </row>
    <row r="96" spans="1:14" ht="12.75" customHeight="1" x14ac:dyDescent="0.2">
      <c r="A96" s="7">
        <v>45930</v>
      </c>
      <c r="B96" s="8" t="s">
        <v>259</v>
      </c>
      <c r="C96" s="8">
        <v>4</v>
      </c>
      <c r="D96" s="8" t="s">
        <v>269</v>
      </c>
      <c r="E96" s="14">
        <v>1</v>
      </c>
      <c r="F96" s="33">
        <v>1</v>
      </c>
      <c r="G96" s="27">
        <v>0.99305555555555558</v>
      </c>
      <c r="H96" s="24">
        <v>1</v>
      </c>
      <c r="I96">
        <f t="shared" si="7"/>
        <v>6</v>
      </c>
      <c r="J96" s="9">
        <v>1.8055555555555554E-2</v>
      </c>
      <c r="K96" s="23">
        <v>2.5000000000000001E-2</v>
      </c>
      <c r="L96" s="26">
        <f t="shared" si="8"/>
        <v>36</v>
      </c>
      <c r="M96" s="31">
        <f t="shared" si="9"/>
        <v>1</v>
      </c>
      <c r="N96" s="31">
        <f t="shared" si="10"/>
        <v>0</v>
      </c>
    </row>
    <row r="97" spans="1:14" ht="12.75" customHeight="1" x14ac:dyDescent="0.2">
      <c r="A97" s="16">
        <v>45935</v>
      </c>
      <c r="B97" s="8" t="s">
        <v>301</v>
      </c>
      <c r="C97" s="8">
        <v>5</v>
      </c>
      <c r="D97" s="8" t="s">
        <v>333</v>
      </c>
      <c r="E97" s="14">
        <v>1</v>
      </c>
      <c r="F97" s="33">
        <v>1</v>
      </c>
      <c r="G97" s="30">
        <v>0.12430555555555556</v>
      </c>
      <c r="H97" s="24">
        <v>0.125</v>
      </c>
      <c r="I97">
        <f t="shared" si="7"/>
        <v>1</v>
      </c>
      <c r="J97" s="20">
        <v>0.13819444444444445</v>
      </c>
      <c r="K97" s="4">
        <f t="shared" ref="K97:K110" si="12">J97-G97</f>
        <v>1.3888888888888895E-2</v>
      </c>
      <c r="L97" s="26">
        <f t="shared" si="8"/>
        <v>20.000000000000007</v>
      </c>
      <c r="M97" s="31">
        <f t="shared" si="9"/>
        <v>0</v>
      </c>
      <c r="N97" s="31">
        <f t="shared" si="10"/>
        <v>0</v>
      </c>
    </row>
    <row r="98" spans="1:14" ht="12.75" customHeight="1" x14ac:dyDescent="0.2">
      <c r="A98" s="16">
        <v>45936</v>
      </c>
      <c r="B98" s="8" t="s">
        <v>272</v>
      </c>
      <c r="C98" s="8">
        <v>1</v>
      </c>
      <c r="D98" s="8" t="s">
        <v>332</v>
      </c>
      <c r="E98" s="14">
        <v>20</v>
      </c>
      <c r="F98" s="33">
        <v>2</v>
      </c>
      <c r="G98" s="30">
        <v>0.36180555555555555</v>
      </c>
      <c r="H98" s="24">
        <v>0.375</v>
      </c>
      <c r="I98">
        <f t="shared" si="7"/>
        <v>2</v>
      </c>
      <c r="J98" s="20">
        <v>0.36319444444444443</v>
      </c>
      <c r="K98" s="4">
        <f t="shared" si="12"/>
        <v>1.388888888888884E-3</v>
      </c>
      <c r="L98" s="26">
        <f t="shared" si="8"/>
        <v>1.9999999999999929</v>
      </c>
      <c r="M98" s="31">
        <f t="shared" si="9"/>
        <v>0</v>
      </c>
      <c r="N98" s="31">
        <f t="shared" si="10"/>
        <v>0</v>
      </c>
    </row>
    <row r="99" spans="1:14" ht="12.75" customHeight="1" x14ac:dyDescent="0.2">
      <c r="A99" s="16">
        <v>45936</v>
      </c>
      <c r="B99" s="8" t="s">
        <v>273</v>
      </c>
      <c r="C99" s="8">
        <v>3</v>
      </c>
      <c r="D99" s="15" t="s">
        <v>331</v>
      </c>
      <c r="E99" s="14">
        <v>1</v>
      </c>
      <c r="F99" s="33">
        <v>1</v>
      </c>
      <c r="G99" s="30">
        <v>0.79722222222222228</v>
      </c>
      <c r="H99" s="24">
        <v>0.79166666666666663</v>
      </c>
      <c r="I99">
        <f t="shared" si="7"/>
        <v>5</v>
      </c>
      <c r="J99" s="20">
        <v>0.81874999999999998</v>
      </c>
      <c r="K99" s="4">
        <f t="shared" si="12"/>
        <v>2.1527777777777701E-2</v>
      </c>
      <c r="L99" s="26">
        <f t="shared" si="8"/>
        <v>30.99999999999989</v>
      </c>
      <c r="M99" s="31">
        <f t="shared" si="9"/>
        <v>1</v>
      </c>
      <c r="N99" s="31">
        <f t="shared" si="10"/>
        <v>0</v>
      </c>
    </row>
    <row r="100" spans="1:14" ht="12.75" customHeight="1" x14ac:dyDescent="0.2">
      <c r="A100" s="16">
        <v>45937</v>
      </c>
      <c r="B100" s="8" t="s">
        <v>274</v>
      </c>
      <c r="C100" s="8">
        <v>3</v>
      </c>
      <c r="D100" s="8" t="s">
        <v>330</v>
      </c>
      <c r="E100" s="14">
        <v>2</v>
      </c>
      <c r="F100" s="33">
        <v>2</v>
      </c>
      <c r="G100" s="30">
        <v>0.58750000000000002</v>
      </c>
      <c r="H100" s="24">
        <v>0.58333333333333326</v>
      </c>
      <c r="I100">
        <f t="shared" si="7"/>
        <v>4</v>
      </c>
      <c r="J100" s="20">
        <v>0.67361111111111116</v>
      </c>
      <c r="K100" s="4">
        <f t="shared" si="12"/>
        <v>8.6111111111111138E-2</v>
      </c>
      <c r="L100" s="26">
        <f t="shared" si="8"/>
        <v>124.00000000000004</v>
      </c>
      <c r="M100" s="31">
        <f t="shared" si="9"/>
        <v>1</v>
      </c>
      <c r="N100" s="31">
        <f t="shared" si="10"/>
        <v>1</v>
      </c>
    </row>
    <row r="101" spans="1:14" ht="12.75" customHeight="1" x14ac:dyDescent="0.2">
      <c r="A101" s="16">
        <v>45938</v>
      </c>
      <c r="B101" s="8" t="s">
        <v>302</v>
      </c>
      <c r="C101" s="8">
        <v>10</v>
      </c>
      <c r="D101" s="8" t="s">
        <v>329</v>
      </c>
      <c r="E101" s="14">
        <v>6</v>
      </c>
      <c r="F101" s="33">
        <v>2</v>
      </c>
      <c r="G101" s="30">
        <v>0.57986111111111116</v>
      </c>
      <c r="H101" s="24">
        <v>0.58333333333333326</v>
      </c>
      <c r="I101">
        <f t="shared" si="7"/>
        <v>4</v>
      </c>
      <c r="J101" s="20">
        <v>0.62916666666666665</v>
      </c>
      <c r="K101" s="4">
        <f t="shared" si="12"/>
        <v>4.9305555555555491E-2</v>
      </c>
      <c r="L101" s="26">
        <f t="shared" si="8"/>
        <v>70.999999999999915</v>
      </c>
      <c r="M101" s="31">
        <f t="shared" si="9"/>
        <v>1</v>
      </c>
      <c r="N101" s="31">
        <f t="shared" si="10"/>
        <v>1</v>
      </c>
    </row>
    <row r="102" spans="1:14" ht="12.75" customHeight="1" x14ac:dyDescent="0.2">
      <c r="A102" s="16">
        <v>45945</v>
      </c>
      <c r="B102" s="8" t="s">
        <v>275</v>
      </c>
      <c r="C102" s="8">
        <v>10</v>
      </c>
      <c r="D102" s="8" t="s">
        <v>328</v>
      </c>
      <c r="E102" s="14">
        <v>1</v>
      </c>
      <c r="F102" s="33">
        <v>1</v>
      </c>
      <c r="G102" s="30">
        <v>0.41736111111111113</v>
      </c>
      <c r="H102" s="24">
        <v>0.41666666666666663</v>
      </c>
      <c r="I102">
        <f t="shared" si="7"/>
        <v>3</v>
      </c>
      <c r="J102" s="20">
        <v>0.42222222222222222</v>
      </c>
      <c r="K102" s="4">
        <f t="shared" si="12"/>
        <v>4.8611111111110938E-3</v>
      </c>
      <c r="L102" s="26">
        <f t="shared" si="8"/>
        <v>6.9999999999999751</v>
      </c>
      <c r="M102" s="31">
        <f t="shared" si="9"/>
        <v>0</v>
      </c>
      <c r="N102" s="31">
        <f t="shared" si="10"/>
        <v>0</v>
      </c>
    </row>
    <row r="103" spans="1:14" ht="12.75" customHeight="1" x14ac:dyDescent="0.2">
      <c r="A103" s="16">
        <v>45945</v>
      </c>
      <c r="B103" s="8" t="s">
        <v>276</v>
      </c>
      <c r="C103" s="8">
        <v>1</v>
      </c>
      <c r="D103" s="8" t="s">
        <v>327</v>
      </c>
      <c r="E103" s="14">
        <v>1</v>
      </c>
      <c r="F103" s="33">
        <v>1</v>
      </c>
      <c r="G103" s="30">
        <v>0.67777777777777781</v>
      </c>
      <c r="H103" s="24">
        <v>0.66666666666666663</v>
      </c>
      <c r="I103">
        <f t="shared" si="7"/>
        <v>4</v>
      </c>
      <c r="J103" s="20">
        <v>0.7680555555555556</v>
      </c>
      <c r="K103" s="4">
        <f t="shared" si="12"/>
        <v>9.027777777777779E-2</v>
      </c>
      <c r="L103" s="26">
        <f t="shared" si="8"/>
        <v>130.00000000000003</v>
      </c>
      <c r="M103" s="31">
        <f t="shared" si="9"/>
        <v>1</v>
      </c>
      <c r="N103" s="31">
        <f t="shared" si="10"/>
        <v>1</v>
      </c>
    </row>
    <row r="104" spans="1:14" ht="12.75" customHeight="1" x14ac:dyDescent="0.2">
      <c r="A104" s="16">
        <v>45945</v>
      </c>
      <c r="B104" s="8" t="s">
        <v>278</v>
      </c>
      <c r="C104" s="8">
        <v>7</v>
      </c>
      <c r="D104" s="8" t="s">
        <v>325</v>
      </c>
      <c r="E104" s="14">
        <v>2</v>
      </c>
      <c r="F104" s="33">
        <v>2</v>
      </c>
      <c r="G104" s="30">
        <v>0.73472222222222228</v>
      </c>
      <c r="H104" s="24">
        <v>0.75</v>
      </c>
      <c r="I104">
        <f t="shared" si="7"/>
        <v>5</v>
      </c>
      <c r="J104" s="20">
        <v>0.90277777777777779</v>
      </c>
      <c r="K104" s="4">
        <f t="shared" si="12"/>
        <v>0.16805555555555551</v>
      </c>
      <c r="L104" s="26">
        <f t="shared" si="8"/>
        <v>241.99999999999994</v>
      </c>
      <c r="M104" s="31">
        <f t="shared" si="9"/>
        <v>1</v>
      </c>
      <c r="N104" s="31">
        <f t="shared" si="10"/>
        <v>1</v>
      </c>
    </row>
    <row r="105" spans="1:14" ht="12.75" customHeight="1" x14ac:dyDescent="0.2">
      <c r="A105" s="16">
        <v>45945</v>
      </c>
      <c r="B105" s="8" t="s">
        <v>279</v>
      </c>
      <c r="C105" s="8">
        <v>7</v>
      </c>
      <c r="D105" s="8" t="s">
        <v>324</v>
      </c>
      <c r="E105" s="14">
        <v>1</v>
      </c>
      <c r="F105" s="33">
        <v>1</v>
      </c>
      <c r="G105" s="30">
        <v>0.19513888888888889</v>
      </c>
      <c r="H105" s="24">
        <v>0.20833333333333331</v>
      </c>
      <c r="I105">
        <f t="shared" si="7"/>
        <v>1</v>
      </c>
      <c r="J105" s="20">
        <v>0.28194444444444444</v>
      </c>
      <c r="K105" s="4">
        <f t="shared" si="12"/>
        <v>8.6805555555555552E-2</v>
      </c>
      <c r="L105" s="26">
        <f t="shared" si="8"/>
        <v>125</v>
      </c>
      <c r="M105" s="31">
        <f t="shared" si="9"/>
        <v>1</v>
      </c>
      <c r="N105" s="31">
        <f t="shared" si="10"/>
        <v>1</v>
      </c>
    </row>
    <row r="106" spans="1:14" ht="12.75" customHeight="1" x14ac:dyDescent="0.2">
      <c r="A106" s="16">
        <v>45947</v>
      </c>
      <c r="B106" s="8" t="s">
        <v>281</v>
      </c>
      <c r="C106" s="8">
        <v>4</v>
      </c>
      <c r="D106" s="8" t="s">
        <v>322</v>
      </c>
      <c r="E106" s="14">
        <v>1</v>
      </c>
      <c r="F106" s="33">
        <v>1</v>
      </c>
      <c r="G106" s="30">
        <v>0.74305555555555558</v>
      </c>
      <c r="H106" s="24">
        <v>0.75</v>
      </c>
      <c r="I106">
        <f t="shared" si="7"/>
        <v>5</v>
      </c>
      <c r="J106" s="20">
        <v>0.77916666666666667</v>
      </c>
      <c r="K106" s="4">
        <f t="shared" si="12"/>
        <v>3.6111111111111094E-2</v>
      </c>
      <c r="L106" s="26">
        <f t="shared" si="8"/>
        <v>51.999999999999972</v>
      </c>
      <c r="M106" s="31">
        <f t="shared" si="9"/>
        <v>1</v>
      </c>
      <c r="N106" s="31">
        <f t="shared" si="10"/>
        <v>1</v>
      </c>
    </row>
    <row r="107" spans="1:14" ht="12.75" customHeight="1" x14ac:dyDescent="0.2">
      <c r="A107" s="16">
        <v>45950</v>
      </c>
      <c r="B107" s="8" t="s">
        <v>282</v>
      </c>
      <c r="C107" s="8">
        <v>6</v>
      </c>
      <c r="D107" s="8" t="s">
        <v>321</v>
      </c>
      <c r="E107" s="14">
        <v>1</v>
      </c>
      <c r="F107" s="33">
        <v>1</v>
      </c>
      <c r="G107" s="30">
        <v>0.68402777777777779</v>
      </c>
      <c r="H107" s="24">
        <v>0.66666666666666663</v>
      </c>
      <c r="I107">
        <f t="shared" si="7"/>
        <v>4</v>
      </c>
      <c r="J107" s="20">
        <v>0.73958333333333337</v>
      </c>
      <c r="K107" s="4">
        <f t="shared" si="12"/>
        <v>5.555555555555558E-2</v>
      </c>
      <c r="L107" s="26">
        <f t="shared" si="8"/>
        <v>80.000000000000028</v>
      </c>
      <c r="M107" s="31">
        <f t="shared" si="9"/>
        <v>1</v>
      </c>
      <c r="N107" s="31">
        <f t="shared" si="10"/>
        <v>1</v>
      </c>
    </row>
    <row r="108" spans="1:14" ht="12.75" customHeight="1" x14ac:dyDescent="0.2">
      <c r="A108" s="16">
        <v>45951</v>
      </c>
      <c r="B108" s="8" t="s">
        <v>284</v>
      </c>
      <c r="C108" s="8">
        <v>10</v>
      </c>
      <c r="D108" s="8" t="s">
        <v>319</v>
      </c>
      <c r="E108" s="14">
        <v>3</v>
      </c>
      <c r="F108" s="33">
        <v>2</v>
      </c>
      <c r="G108" s="30">
        <v>0.84097222222222223</v>
      </c>
      <c r="H108" s="24">
        <v>0.83333333333333326</v>
      </c>
      <c r="I108">
        <f t="shared" si="7"/>
        <v>5</v>
      </c>
      <c r="J108" s="20">
        <v>0.87291666666666667</v>
      </c>
      <c r="K108" s="4">
        <f t="shared" si="12"/>
        <v>3.1944444444444442E-2</v>
      </c>
      <c r="L108" s="26">
        <f t="shared" si="8"/>
        <v>46</v>
      </c>
      <c r="M108" s="31">
        <f t="shared" si="9"/>
        <v>1</v>
      </c>
      <c r="N108" s="31">
        <f t="shared" si="10"/>
        <v>1</v>
      </c>
    </row>
    <row r="109" spans="1:14" ht="12.75" customHeight="1" x14ac:dyDescent="0.2">
      <c r="A109" s="16">
        <v>45953</v>
      </c>
      <c r="B109" s="8" t="s">
        <v>286</v>
      </c>
      <c r="C109" s="8">
        <v>4</v>
      </c>
      <c r="D109" s="8" t="s">
        <v>317</v>
      </c>
      <c r="E109" s="14">
        <v>2</v>
      </c>
      <c r="F109" s="33">
        <v>2</v>
      </c>
      <c r="G109" s="30">
        <v>0.41597222222222224</v>
      </c>
      <c r="H109" s="24">
        <v>0.41666666666666663</v>
      </c>
      <c r="I109">
        <f t="shared" si="7"/>
        <v>3</v>
      </c>
      <c r="J109" s="20">
        <v>0.42430555555555555</v>
      </c>
      <c r="K109" s="4">
        <f t="shared" si="12"/>
        <v>8.3333333333333037E-3</v>
      </c>
      <c r="L109" s="26">
        <f t="shared" si="8"/>
        <v>11.999999999999957</v>
      </c>
      <c r="M109" s="31">
        <f t="shared" si="9"/>
        <v>0</v>
      </c>
      <c r="N109" s="31">
        <f t="shared" si="10"/>
        <v>0</v>
      </c>
    </row>
    <row r="110" spans="1:14" ht="12.75" customHeight="1" x14ac:dyDescent="0.2">
      <c r="A110" s="16">
        <v>45953</v>
      </c>
      <c r="B110" s="8" t="s">
        <v>287</v>
      </c>
      <c r="C110" s="8">
        <v>5</v>
      </c>
      <c r="D110" s="8" t="s">
        <v>316</v>
      </c>
      <c r="E110" s="14">
        <v>1</v>
      </c>
      <c r="F110" s="33">
        <v>1</v>
      </c>
      <c r="G110" s="30">
        <v>0.42986111111111114</v>
      </c>
      <c r="H110" s="24">
        <v>0.41666666666666663</v>
      </c>
      <c r="I110">
        <f t="shared" si="7"/>
        <v>3</v>
      </c>
      <c r="J110" s="20">
        <v>0.46666666666666667</v>
      </c>
      <c r="K110" s="4">
        <f t="shared" si="12"/>
        <v>3.6805555555555536E-2</v>
      </c>
      <c r="L110" s="26">
        <f t="shared" si="8"/>
        <v>52.999999999999972</v>
      </c>
      <c r="M110" s="31">
        <f t="shared" si="9"/>
        <v>1</v>
      </c>
      <c r="N110" s="31">
        <f t="shared" si="10"/>
        <v>1</v>
      </c>
    </row>
    <row r="111" spans="1:14" ht="12.75" customHeight="1" x14ac:dyDescent="0.2">
      <c r="A111" s="16">
        <v>45953</v>
      </c>
      <c r="B111" s="8" t="s">
        <v>288</v>
      </c>
      <c r="C111" s="8">
        <v>7</v>
      </c>
      <c r="D111" s="8" t="s">
        <v>315</v>
      </c>
      <c r="E111" s="14">
        <v>60</v>
      </c>
      <c r="F111" s="33">
        <v>2</v>
      </c>
      <c r="G111" s="30">
        <v>0.98402777777777772</v>
      </c>
      <c r="H111" s="24">
        <v>1</v>
      </c>
      <c r="I111">
        <f t="shared" si="7"/>
        <v>6</v>
      </c>
      <c r="J111" s="20">
        <v>0.10625</v>
      </c>
      <c r="K111" s="23">
        <v>0.12222222222222222</v>
      </c>
      <c r="L111" s="26">
        <f t="shared" si="8"/>
        <v>176</v>
      </c>
      <c r="M111" s="31">
        <f t="shared" si="9"/>
        <v>1</v>
      </c>
      <c r="N111" s="31">
        <f t="shared" si="10"/>
        <v>1</v>
      </c>
    </row>
    <row r="112" spans="1:14" ht="12.75" customHeight="1" x14ac:dyDescent="0.2">
      <c r="A112" s="16">
        <v>45954</v>
      </c>
      <c r="B112" s="8" t="s">
        <v>289</v>
      </c>
      <c r="C112" s="8">
        <v>4</v>
      </c>
      <c r="D112" s="8" t="s">
        <v>314</v>
      </c>
      <c r="E112" s="14">
        <v>1</v>
      </c>
      <c r="F112" s="33">
        <v>1</v>
      </c>
      <c r="G112" s="30">
        <v>0.95972222222222225</v>
      </c>
      <c r="H112" s="24">
        <v>0.95833333333333326</v>
      </c>
      <c r="I112">
        <f t="shared" si="7"/>
        <v>6</v>
      </c>
      <c r="J112" s="20">
        <v>0.96111111111111114</v>
      </c>
      <c r="K112" s="4">
        <f t="shared" ref="K112:K121" si="13">J112-G112</f>
        <v>1.388888888888884E-3</v>
      </c>
      <c r="L112" s="26">
        <f t="shared" si="8"/>
        <v>1.9999999999999929</v>
      </c>
      <c r="M112" s="31">
        <f t="shared" si="9"/>
        <v>0</v>
      </c>
      <c r="N112" s="31">
        <f t="shared" si="10"/>
        <v>0</v>
      </c>
    </row>
    <row r="113" spans="1:14" ht="12.75" customHeight="1" x14ac:dyDescent="0.2">
      <c r="A113" s="16">
        <v>45956</v>
      </c>
      <c r="B113" s="8" t="s">
        <v>335</v>
      </c>
      <c r="C113" s="8">
        <v>2</v>
      </c>
      <c r="D113" s="8" t="s">
        <v>313</v>
      </c>
      <c r="E113" s="14">
        <v>1</v>
      </c>
      <c r="F113" s="33">
        <v>1</v>
      </c>
      <c r="G113" s="30">
        <v>0.76597222222222228</v>
      </c>
      <c r="H113" s="24">
        <v>0.75</v>
      </c>
      <c r="I113">
        <f t="shared" si="7"/>
        <v>5</v>
      </c>
      <c r="J113" s="20">
        <v>0.77986111111111112</v>
      </c>
      <c r="K113" s="4">
        <f t="shared" si="13"/>
        <v>1.388888888888884E-2</v>
      </c>
      <c r="L113" s="26">
        <f t="shared" si="8"/>
        <v>19.999999999999929</v>
      </c>
      <c r="M113" s="31">
        <f t="shared" si="9"/>
        <v>0</v>
      </c>
      <c r="N113" s="31">
        <f t="shared" si="10"/>
        <v>0</v>
      </c>
    </row>
    <row r="114" spans="1:14" ht="12.75" customHeight="1" x14ac:dyDescent="0.2">
      <c r="A114" s="16">
        <v>45956</v>
      </c>
      <c r="B114" s="8" t="s">
        <v>291</v>
      </c>
      <c r="C114" s="8">
        <v>10</v>
      </c>
      <c r="D114" s="8" t="s">
        <v>312</v>
      </c>
      <c r="E114" s="14">
        <v>1</v>
      </c>
      <c r="F114" s="33">
        <v>1</v>
      </c>
      <c r="G114" s="30">
        <v>0.80555555555555558</v>
      </c>
      <c r="H114" s="24">
        <v>0.79166666666666663</v>
      </c>
      <c r="I114">
        <f t="shared" si="7"/>
        <v>5</v>
      </c>
      <c r="J114" s="20">
        <v>0.84444444444444444</v>
      </c>
      <c r="K114" s="4">
        <f t="shared" si="13"/>
        <v>3.8888888888888862E-2</v>
      </c>
      <c r="L114" s="26">
        <f t="shared" si="8"/>
        <v>55.999999999999957</v>
      </c>
      <c r="M114" s="31">
        <f t="shared" si="9"/>
        <v>1</v>
      </c>
      <c r="N114" s="31">
        <f t="shared" si="10"/>
        <v>1</v>
      </c>
    </row>
    <row r="115" spans="1:14" ht="12.75" customHeight="1" x14ac:dyDescent="0.2">
      <c r="A115" s="16">
        <v>45957</v>
      </c>
      <c r="B115" s="8" t="s">
        <v>292</v>
      </c>
      <c r="C115" s="8">
        <v>6</v>
      </c>
      <c r="D115" s="8" t="s">
        <v>311</v>
      </c>
      <c r="E115" s="14">
        <v>2</v>
      </c>
      <c r="F115" s="33">
        <v>2</v>
      </c>
      <c r="G115" s="30">
        <v>0.35069444444444442</v>
      </c>
      <c r="H115" s="24">
        <v>0.33333333333333331</v>
      </c>
      <c r="I115">
        <f t="shared" si="7"/>
        <v>2</v>
      </c>
      <c r="J115" s="11">
        <v>0.44791666666666669</v>
      </c>
      <c r="K115" s="4">
        <f t="shared" si="13"/>
        <v>9.7222222222222265E-2</v>
      </c>
      <c r="L115" s="26">
        <f t="shared" si="8"/>
        <v>140.00000000000006</v>
      </c>
      <c r="M115" s="31">
        <f t="shared" si="9"/>
        <v>1</v>
      </c>
      <c r="N115" s="31">
        <f t="shared" si="10"/>
        <v>1</v>
      </c>
    </row>
    <row r="116" spans="1:14" ht="12.75" customHeight="1" x14ac:dyDescent="0.2">
      <c r="A116" s="16">
        <v>45957</v>
      </c>
      <c r="B116" s="8" t="s">
        <v>293</v>
      </c>
      <c r="C116" s="8">
        <v>7</v>
      </c>
      <c r="D116" s="8" t="s">
        <v>310</v>
      </c>
      <c r="E116" s="14">
        <v>1</v>
      </c>
      <c r="F116" s="33">
        <v>1</v>
      </c>
      <c r="G116" s="30">
        <v>0.43055555555555558</v>
      </c>
      <c r="H116" s="24">
        <v>0.41666666666666663</v>
      </c>
      <c r="I116">
        <f t="shared" si="7"/>
        <v>3</v>
      </c>
      <c r="J116" s="20">
        <v>0.48333333333333334</v>
      </c>
      <c r="K116" s="4">
        <f t="shared" si="13"/>
        <v>5.2777777777777757E-2</v>
      </c>
      <c r="L116" s="26">
        <f t="shared" si="8"/>
        <v>75.999999999999972</v>
      </c>
      <c r="M116" s="31">
        <f t="shared" si="9"/>
        <v>1</v>
      </c>
      <c r="N116" s="31">
        <f t="shared" si="10"/>
        <v>1</v>
      </c>
    </row>
    <row r="117" spans="1:14" ht="12.75" customHeight="1" x14ac:dyDescent="0.2">
      <c r="A117" s="16">
        <v>45957</v>
      </c>
      <c r="B117" s="8" t="s">
        <v>294</v>
      </c>
      <c r="C117" s="8">
        <v>4</v>
      </c>
      <c r="D117" s="8" t="s">
        <v>309</v>
      </c>
      <c r="E117" s="14">
        <v>1</v>
      </c>
      <c r="F117" s="33">
        <v>1</v>
      </c>
      <c r="G117" s="30">
        <v>0.86875000000000002</v>
      </c>
      <c r="H117" s="24">
        <v>0.875</v>
      </c>
      <c r="I117">
        <f t="shared" si="7"/>
        <v>5</v>
      </c>
      <c r="J117" s="20">
        <v>0.87638888888888888</v>
      </c>
      <c r="K117" s="4">
        <f t="shared" si="13"/>
        <v>7.6388888888888618E-3</v>
      </c>
      <c r="L117" s="26">
        <f t="shared" si="8"/>
        <v>10.999999999999961</v>
      </c>
      <c r="M117" s="31">
        <f t="shared" si="9"/>
        <v>0</v>
      </c>
      <c r="N117" s="31">
        <f t="shared" si="10"/>
        <v>0</v>
      </c>
    </row>
    <row r="118" spans="1:14" ht="12.75" customHeight="1" x14ac:dyDescent="0.2">
      <c r="A118" s="16">
        <v>45959</v>
      </c>
      <c r="B118" s="8" t="s">
        <v>295</v>
      </c>
      <c r="C118" s="8">
        <v>2</v>
      </c>
      <c r="D118" s="8" t="s">
        <v>308</v>
      </c>
      <c r="E118" s="14">
        <v>1</v>
      </c>
      <c r="F118" s="33">
        <v>1</v>
      </c>
      <c r="G118" s="30">
        <v>0.69861111111111107</v>
      </c>
      <c r="H118" s="24">
        <v>0.70833333333333326</v>
      </c>
      <c r="I118">
        <f t="shared" si="7"/>
        <v>4</v>
      </c>
      <c r="J118" s="20">
        <v>0.70277777777777772</v>
      </c>
      <c r="K118" s="4">
        <f t="shared" si="13"/>
        <v>4.1666666666666519E-3</v>
      </c>
      <c r="L118" s="26">
        <f t="shared" si="8"/>
        <v>5.9999999999999787</v>
      </c>
      <c r="M118" s="31">
        <f t="shared" si="9"/>
        <v>0</v>
      </c>
      <c r="N118" s="31">
        <f t="shared" si="10"/>
        <v>0</v>
      </c>
    </row>
    <row r="119" spans="1:14" ht="12.75" customHeight="1" x14ac:dyDescent="0.2">
      <c r="A119" s="16">
        <v>45959</v>
      </c>
      <c r="B119" s="8" t="s">
        <v>296</v>
      </c>
      <c r="C119" s="8">
        <v>6</v>
      </c>
      <c r="D119" s="8" t="s">
        <v>307</v>
      </c>
      <c r="E119" s="14">
        <v>20</v>
      </c>
      <c r="F119" s="33">
        <v>2</v>
      </c>
      <c r="G119" s="30">
        <v>0.97986111111111107</v>
      </c>
      <c r="H119" s="24">
        <v>1</v>
      </c>
      <c r="I119">
        <f t="shared" si="7"/>
        <v>6</v>
      </c>
      <c r="J119" s="20">
        <v>0.98402777777777772</v>
      </c>
      <c r="K119" s="4">
        <f t="shared" si="13"/>
        <v>4.1666666666666519E-3</v>
      </c>
      <c r="L119" s="26">
        <f t="shared" si="8"/>
        <v>5.9999999999999787</v>
      </c>
      <c r="M119" s="31">
        <f t="shared" si="9"/>
        <v>0</v>
      </c>
      <c r="N119" s="31">
        <f t="shared" si="10"/>
        <v>0</v>
      </c>
    </row>
    <row r="120" spans="1:14" ht="12.75" customHeight="1" x14ac:dyDescent="0.2">
      <c r="A120" s="16">
        <v>45960</v>
      </c>
      <c r="B120" s="8" t="s">
        <v>297</v>
      </c>
      <c r="C120" s="8">
        <v>7</v>
      </c>
      <c r="D120" s="8" t="s">
        <v>306</v>
      </c>
      <c r="E120" s="14">
        <v>1</v>
      </c>
      <c r="F120" s="33">
        <v>1</v>
      </c>
      <c r="G120" s="30">
        <v>0.56944444444444442</v>
      </c>
      <c r="H120" s="24">
        <v>0.58333333333333326</v>
      </c>
      <c r="I120">
        <f t="shared" si="7"/>
        <v>4</v>
      </c>
      <c r="J120" s="20">
        <v>0.59444444444444444</v>
      </c>
      <c r="K120" s="4">
        <f t="shared" si="13"/>
        <v>2.5000000000000022E-2</v>
      </c>
      <c r="L120" s="26">
        <f t="shared" si="8"/>
        <v>36.000000000000028</v>
      </c>
      <c r="M120" s="31">
        <f t="shared" si="9"/>
        <v>1</v>
      </c>
      <c r="N120" s="31">
        <f t="shared" si="10"/>
        <v>0</v>
      </c>
    </row>
    <row r="121" spans="1:14" ht="12.75" customHeight="1" x14ac:dyDescent="0.2">
      <c r="A121" s="16">
        <v>45961</v>
      </c>
      <c r="B121" s="8" t="s">
        <v>298</v>
      </c>
      <c r="C121" s="8">
        <v>4</v>
      </c>
      <c r="D121" s="8" t="s">
        <v>305</v>
      </c>
      <c r="E121" s="14">
        <v>1</v>
      </c>
      <c r="F121" s="33">
        <v>1</v>
      </c>
      <c r="G121" s="30">
        <v>0.5131944444444444</v>
      </c>
      <c r="H121" s="24">
        <v>0.5</v>
      </c>
      <c r="I121">
        <f t="shared" si="7"/>
        <v>3</v>
      </c>
      <c r="J121" s="20">
        <v>0.52916666666666667</v>
      </c>
      <c r="K121" s="4">
        <f t="shared" si="13"/>
        <v>1.5972222222222276E-2</v>
      </c>
      <c r="L121" s="26">
        <f t="shared" si="8"/>
        <v>23.000000000000078</v>
      </c>
      <c r="M121" s="31">
        <f t="shared" si="9"/>
        <v>1</v>
      </c>
      <c r="N121" s="31">
        <f t="shared" si="10"/>
        <v>0</v>
      </c>
    </row>
    <row r="129" spans="2:4" ht="12.75" customHeight="1" x14ac:dyDescent="0.2">
      <c r="B129" s="1">
        <v>1</v>
      </c>
      <c r="C129" s="1" t="s">
        <v>336</v>
      </c>
    </row>
    <row r="130" spans="2:4" ht="12.75" customHeight="1" x14ac:dyDescent="0.2">
      <c r="B130" s="1">
        <v>2</v>
      </c>
      <c r="C130" s="1" t="s">
        <v>337</v>
      </c>
      <c r="D130" s="8" t="s">
        <v>346</v>
      </c>
    </row>
    <row r="131" spans="2:4" ht="12.75" customHeight="1" x14ac:dyDescent="0.2">
      <c r="B131" s="1">
        <v>3</v>
      </c>
      <c r="C131" s="1" t="s">
        <v>338</v>
      </c>
    </row>
    <row r="132" spans="2:4" ht="12.75" customHeight="1" x14ac:dyDescent="0.2">
      <c r="B132" s="1">
        <v>4</v>
      </c>
      <c r="C132" s="1" t="s">
        <v>339</v>
      </c>
    </row>
    <row r="133" spans="2:4" ht="12.75" customHeight="1" x14ac:dyDescent="0.2">
      <c r="B133" s="1">
        <v>5</v>
      </c>
      <c r="C133" s="1" t="s">
        <v>340</v>
      </c>
    </row>
    <row r="134" spans="2:4" ht="12.75" customHeight="1" x14ac:dyDescent="0.2">
      <c r="B134" s="1">
        <v>6</v>
      </c>
      <c r="C134" s="1" t="s">
        <v>341</v>
      </c>
    </row>
    <row r="135" spans="2:4" ht="12.75" customHeight="1" x14ac:dyDescent="0.2">
      <c r="B135" s="1">
        <v>7</v>
      </c>
      <c r="C135" s="1" t="s">
        <v>342</v>
      </c>
    </row>
    <row r="136" spans="2:4" ht="12.75" customHeight="1" x14ac:dyDescent="0.2">
      <c r="B136" s="1">
        <v>8</v>
      </c>
      <c r="C136" s="1" t="s">
        <v>343</v>
      </c>
    </row>
    <row r="137" spans="2:4" ht="12.75" customHeight="1" x14ac:dyDescent="0.2">
      <c r="B137" s="1">
        <v>9</v>
      </c>
      <c r="C137" s="1" t="s">
        <v>344</v>
      </c>
    </row>
    <row r="138" spans="2:4" ht="12.75" customHeight="1" x14ac:dyDescent="0.2">
      <c r="B138" s="1">
        <v>10</v>
      </c>
      <c r="C138" s="1" t="s">
        <v>345</v>
      </c>
    </row>
  </sheetData>
  <autoFilter ref="A1:E1" xr:uid="{00000000-0009-0000-0000-000000000000}">
    <sortState xmlns:xlrd2="http://schemas.microsoft.com/office/spreadsheetml/2017/richdata2" ref="A2:E11">
      <sortCondition ref="E1"/>
    </sortState>
  </autoFilter>
  <dataValidations count="4">
    <dataValidation type="time" allowBlank="1" showInputMessage="1" showErrorMessage="1" sqref="J2:J3 I122:I1048576 G86:G1048576 J86:J1048576 G2:G16 H2:H1048576 G19:G62 J19:J62" xr:uid="{A6973574-4B70-6743-949A-5C63A8732AE0}">
      <formula1>0</formula1>
      <formula2>0.999305555555556</formula2>
    </dataValidation>
    <dataValidation type="date" allowBlank="1" showInputMessage="1" showErrorMessage="1" sqref="A97:A1048576 A45:A88 A2:A16" xr:uid="{7170135C-C7D7-FB44-AAE1-7C181CA53225}">
      <formula1>43831</formula1>
      <formula2>401769</formula2>
    </dataValidation>
    <dataValidation type="list" allowBlank="1" showInputMessage="1" showErrorMessage="1" sqref="J4:J16" xr:uid="{32E05252-D858-9742-BCE0-3EDF95233A3A}">
      <formula1>"Y, N, Unknown"</formula1>
    </dataValidation>
    <dataValidation type="whole" operator="greaterThanOrEqual" allowBlank="1" showInputMessage="1" showErrorMessage="1" sqref="E1:E1048576 F2:F1048576" xr:uid="{A0199364-3594-D14A-8E73-1808C83F816E}">
      <formula1>0</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FF4EF-5AC1-B142-A827-0DFC7B1B617D}">
  <dimension ref="A1:O121"/>
  <sheetViews>
    <sheetView tabSelected="1" topLeftCell="A27" workbookViewId="0">
      <selection activeCell="Q43" sqref="Q43"/>
    </sheetView>
  </sheetViews>
  <sheetFormatPr baseColWidth="10" defaultRowHeight="15" x14ac:dyDescent="0.2"/>
  <cols>
    <col min="1" max="1" width="14.6640625" customWidth="1"/>
    <col min="2" max="2" width="10.83203125" style="34"/>
  </cols>
  <sheetData>
    <row r="1" spans="1:10" x14ac:dyDescent="0.2">
      <c r="A1" t="s">
        <v>353</v>
      </c>
      <c r="B1" s="34" t="s">
        <v>349</v>
      </c>
      <c r="D1" t="s">
        <v>370</v>
      </c>
      <c r="E1" t="s">
        <v>369</v>
      </c>
    </row>
    <row r="2" spans="1:10" x14ac:dyDescent="0.2">
      <c r="A2">
        <v>2</v>
      </c>
      <c r="B2" s="34">
        <v>34</v>
      </c>
      <c r="D2">
        <v>3</v>
      </c>
      <c r="E2" s="34">
        <f>SUM(B4:B26)</f>
        <v>872.00000000000034</v>
      </c>
      <c r="H2" t="s">
        <v>360</v>
      </c>
      <c r="I2" t="s">
        <v>362</v>
      </c>
      <c r="J2" t="s">
        <v>361</v>
      </c>
    </row>
    <row r="3" spans="1:10" x14ac:dyDescent="0.2">
      <c r="A3">
        <v>2</v>
      </c>
      <c r="B3" s="34">
        <v>175.99999999999994</v>
      </c>
      <c r="D3">
        <v>6</v>
      </c>
      <c r="E3" s="34">
        <f>SUM(B27:B42)</f>
        <v>917.99999999999989</v>
      </c>
      <c r="G3" t="s">
        <v>354</v>
      </c>
      <c r="H3" s="34">
        <f>AVERAGE(B4:B26)</f>
        <v>37.913043478260882</v>
      </c>
      <c r="I3" s="34">
        <f>STDEV(B4:B26)</f>
        <v>61.58062936543827</v>
      </c>
      <c r="J3" s="34">
        <f>MEDIAN(B4:B26)</f>
        <v>12.999999999999993</v>
      </c>
    </row>
    <row r="4" spans="1:10" x14ac:dyDescent="0.2">
      <c r="A4">
        <v>3</v>
      </c>
      <c r="B4" s="34">
        <v>30.99999999999989</v>
      </c>
      <c r="D4">
        <v>7</v>
      </c>
      <c r="E4" s="34">
        <f>SUM(B43:B60)</f>
        <v>727</v>
      </c>
      <c r="G4" t="s">
        <v>355</v>
      </c>
      <c r="H4" s="34">
        <f>AVERAGE(B27:B42)</f>
        <v>57.374999999999993</v>
      </c>
      <c r="I4" s="34">
        <f>STDEV(B27:B42)</f>
        <v>57.621610529383858</v>
      </c>
      <c r="J4" s="34">
        <f>MEDIAN(B27:B42)</f>
        <v>42.000000000000014</v>
      </c>
    </row>
    <row r="5" spans="1:10" x14ac:dyDescent="0.2">
      <c r="A5">
        <v>3</v>
      </c>
      <c r="B5" s="34">
        <v>272</v>
      </c>
      <c r="D5">
        <v>8</v>
      </c>
      <c r="E5" s="34">
        <f>SUM(B61:B85)</f>
        <v>816.00000000000011</v>
      </c>
      <c r="G5" t="s">
        <v>359</v>
      </c>
      <c r="H5" s="34">
        <f>AVERAGE(B43:B60)</f>
        <v>40.388888888888886</v>
      </c>
      <c r="I5" s="34">
        <f>STDEV(B43:B60)</f>
        <v>45.339424331290431</v>
      </c>
      <c r="J5" s="34">
        <f>MEDIAN(B43:B60)</f>
        <v>18.000000000000046</v>
      </c>
    </row>
    <row r="6" spans="1:10" x14ac:dyDescent="0.2">
      <c r="A6">
        <v>3</v>
      </c>
      <c r="B6" s="34">
        <v>18.000000000000096</v>
      </c>
      <c r="D6">
        <v>9</v>
      </c>
      <c r="E6" s="34">
        <f>SUM(B86:B96)</f>
        <v>755.00000000000023</v>
      </c>
      <c r="G6" t="s">
        <v>356</v>
      </c>
      <c r="H6" s="34">
        <f>AVERAGE(B61:B85)</f>
        <v>32.640000000000008</v>
      </c>
      <c r="I6" s="34">
        <f>STDEV(B61:B85)</f>
        <v>40.004041462498925</v>
      </c>
      <c r="J6" s="34">
        <f>MEDIAN(B61:B85)</f>
        <v>17.000000000000099</v>
      </c>
    </row>
    <row r="7" spans="1:10" x14ac:dyDescent="0.2">
      <c r="A7">
        <v>3</v>
      </c>
      <c r="B7" s="34">
        <v>4.9999999999999822</v>
      </c>
      <c r="D7">
        <v>10</v>
      </c>
      <c r="E7" s="34">
        <f>SUM(B97:B121)</f>
        <v>1546.9999999999998</v>
      </c>
      <c r="G7" t="s">
        <v>357</v>
      </c>
      <c r="H7" s="34">
        <f>AVERAGE(B86:B96)</f>
        <v>68.636363636363654</v>
      </c>
      <c r="I7" s="34">
        <f>STDEV(B86:B96)</f>
        <v>84.914395395919399</v>
      </c>
      <c r="J7" s="34">
        <f>MEDIAN(B86:B96)</f>
        <v>46.999999999999993</v>
      </c>
    </row>
    <row r="8" spans="1:10" x14ac:dyDescent="0.2">
      <c r="A8">
        <v>3</v>
      </c>
      <c r="B8" s="34">
        <v>9.0000000000000071</v>
      </c>
      <c r="G8" t="s">
        <v>358</v>
      </c>
      <c r="H8" s="34">
        <f>AVERAGE(B97:B121)</f>
        <v>61.879999999999988</v>
      </c>
      <c r="I8" s="34">
        <f>STDEV(B97:B121)</f>
        <v>62.341345296146237</v>
      </c>
      <c r="J8" s="34">
        <f>MEDIAN(B97:B121)</f>
        <v>46</v>
      </c>
    </row>
    <row r="9" spans="1:10" x14ac:dyDescent="0.2">
      <c r="A9">
        <v>3</v>
      </c>
      <c r="B9" s="34">
        <v>114</v>
      </c>
    </row>
    <row r="10" spans="1:10" x14ac:dyDescent="0.2">
      <c r="A10">
        <v>3</v>
      </c>
      <c r="B10" s="34">
        <v>5.9999999999999787</v>
      </c>
    </row>
    <row r="11" spans="1:10" x14ac:dyDescent="0.2">
      <c r="A11">
        <v>3</v>
      </c>
      <c r="B11" s="34">
        <v>5.9999999999999787</v>
      </c>
    </row>
    <row r="12" spans="1:10" x14ac:dyDescent="0.2">
      <c r="A12">
        <v>3</v>
      </c>
      <c r="B12" s="34">
        <v>16.99999999999994</v>
      </c>
    </row>
    <row r="13" spans="1:10" x14ac:dyDescent="0.2">
      <c r="A13">
        <v>3</v>
      </c>
      <c r="B13" s="34">
        <v>28.00000000000006</v>
      </c>
    </row>
    <row r="14" spans="1:10" x14ac:dyDescent="0.2">
      <c r="A14">
        <v>3</v>
      </c>
      <c r="B14" s="34">
        <v>12.999999999999993</v>
      </c>
    </row>
    <row r="15" spans="1:10" x14ac:dyDescent="0.2">
      <c r="A15">
        <v>3</v>
      </c>
      <c r="B15" s="34">
        <v>5.0000000000001421</v>
      </c>
    </row>
    <row r="16" spans="1:10" x14ac:dyDescent="0.2">
      <c r="A16">
        <v>3</v>
      </c>
      <c r="B16" s="34">
        <v>10.999999999999961</v>
      </c>
    </row>
    <row r="17" spans="1:2" x14ac:dyDescent="0.2">
      <c r="A17">
        <v>3</v>
      </c>
      <c r="B17" s="34">
        <v>28.999999999999897</v>
      </c>
    </row>
    <row r="18" spans="1:2" x14ac:dyDescent="0.2">
      <c r="A18">
        <v>3</v>
      </c>
      <c r="B18" s="34">
        <v>5.9999999999999787</v>
      </c>
    </row>
    <row r="19" spans="1:2" x14ac:dyDescent="0.2">
      <c r="A19">
        <v>3</v>
      </c>
      <c r="B19" s="34">
        <v>137</v>
      </c>
    </row>
    <row r="20" spans="1:2" x14ac:dyDescent="0.2">
      <c r="A20">
        <v>3</v>
      </c>
      <c r="B20" s="34">
        <v>56.000000000000121</v>
      </c>
    </row>
    <row r="21" spans="1:2" x14ac:dyDescent="0.2">
      <c r="A21">
        <v>3</v>
      </c>
      <c r="B21" s="34">
        <v>22.000000000000082</v>
      </c>
    </row>
    <row r="22" spans="1:2" x14ac:dyDescent="0.2">
      <c r="A22">
        <v>3</v>
      </c>
      <c r="B22" s="34">
        <v>55.999999999999957</v>
      </c>
    </row>
    <row r="23" spans="1:2" x14ac:dyDescent="0.2">
      <c r="A23">
        <v>3</v>
      </c>
      <c r="B23" s="34">
        <v>4.9999999999999822</v>
      </c>
    </row>
    <row r="24" spans="1:2" x14ac:dyDescent="0.2">
      <c r="A24">
        <v>3</v>
      </c>
      <c r="B24" s="34">
        <v>9.0000000000001279</v>
      </c>
    </row>
    <row r="25" spans="1:2" x14ac:dyDescent="0.2">
      <c r="A25">
        <v>3</v>
      </c>
      <c r="B25" s="34">
        <v>6.9999999999999751</v>
      </c>
    </row>
    <row r="26" spans="1:2" x14ac:dyDescent="0.2">
      <c r="A26">
        <v>3</v>
      </c>
      <c r="B26" s="34">
        <v>9.9999999999999645</v>
      </c>
    </row>
    <row r="27" spans="1:2" x14ac:dyDescent="0.2">
      <c r="A27">
        <v>6</v>
      </c>
      <c r="B27" s="34">
        <v>27.999999999999901</v>
      </c>
    </row>
    <row r="28" spans="1:2" x14ac:dyDescent="0.2">
      <c r="A28">
        <v>6</v>
      </c>
      <c r="B28" s="34">
        <v>2.9999999999999893</v>
      </c>
    </row>
    <row r="29" spans="1:2" x14ac:dyDescent="0.2">
      <c r="A29">
        <v>6</v>
      </c>
      <c r="B29" s="34">
        <v>6.9999999999999751</v>
      </c>
    </row>
    <row r="30" spans="1:2" x14ac:dyDescent="0.2">
      <c r="A30">
        <v>6</v>
      </c>
      <c r="B30" s="34">
        <v>13.99999999999995</v>
      </c>
    </row>
    <row r="31" spans="1:2" x14ac:dyDescent="0.2">
      <c r="A31">
        <v>6</v>
      </c>
      <c r="B31" s="34">
        <v>39.000000000000021</v>
      </c>
    </row>
    <row r="32" spans="1:2" x14ac:dyDescent="0.2">
      <c r="A32">
        <v>6</v>
      </c>
      <c r="B32" s="34">
        <v>211.00000000000006</v>
      </c>
    </row>
    <row r="33" spans="1:15" x14ac:dyDescent="0.2">
      <c r="A33">
        <v>6</v>
      </c>
      <c r="B33" s="34">
        <v>107.99999999999994</v>
      </c>
    </row>
    <row r="34" spans="1:15" x14ac:dyDescent="0.2">
      <c r="A34">
        <v>6</v>
      </c>
      <c r="B34" s="34">
        <v>60.000000000000107</v>
      </c>
    </row>
    <row r="35" spans="1:15" x14ac:dyDescent="0.2">
      <c r="A35">
        <v>6</v>
      </c>
      <c r="B35" s="34">
        <v>18.999999999999993</v>
      </c>
      <c r="F35" t="s">
        <v>363</v>
      </c>
    </row>
    <row r="36" spans="1:15" x14ac:dyDescent="0.2">
      <c r="A36">
        <v>6</v>
      </c>
      <c r="B36" s="34">
        <v>8.999999999999968</v>
      </c>
      <c r="F36" t="s">
        <v>364</v>
      </c>
      <c r="H36" t="s">
        <v>365</v>
      </c>
    </row>
    <row r="37" spans="1:15" x14ac:dyDescent="0.2">
      <c r="A37">
        <v>6</v>
      </c>
      <c r="B37" s="34">
        <v>82.000000000000028</v>
      </c>
      <c r="F37" s="34">
        <v>30.99999999999989</v>
      </c>
      <c r="G37" s="34"/>
      <c r="H37" s="34">
        <v>20.000000000000007</v>
      </c>
    </row>
    <row r="38" spans="1:15" x14ac:dyDescent="0.2">
      <c r="A38">
        <v>6</v>
      </c>
      <c r="B38" s="34">
        <v>124.99999999999987</v>
      </c>
      <c r="F38" s="34">
        <v>272</v>
      </c>
      <c r="G38" s="34"/>
      <c r="H38" s="34">
        <v>1.9999999999999929</v>
      </c>
      <c r="O38" s="34"/>
    </row>
    <row r="39" spans="1:15" x14ac:dyDescent="0.2">
      <c r="A39">
        <v>6</v>
      </c>
      <c r="B39" s="34">
        <v>45</v>
      </c>
      <c r="F39" s="34">
        <v>18.000000000000096</v>
      </c>
      <c r="G39" s="34"/>
      <c r="H39" s="34">
        <v>30.99999999999989</v>
      </c>
    </row>
    <row r="40" spans="1:15" x14ac:dyDescent="0.2">
      <c r="A40">
        <v>6</v>
      </c>
      <c r="B40" s="34">
        <v>115.00000000000007</v>
      </c>
      <c r="F40" s="34">
        <v>4.9999999999999822</v>
      </c>
      <c r="G40" s="34"/>
      <c r="H40" s="34">
        <v>124.00000000000004</v>
      </c>
    </row>
    <row r="41" spans="1:15" x14ac:dyDescent="0.2">
      <c r="A41">
        <v>6</v>
      </c>
      <c r="B41" s="34">
        <v>7.9999999999999716</v>
      </c>
      <c r="F41" s="34">
        <v>9.0000000000000071</v>
      </c>
      <c r="G41" s="34"/>
      <c r="H41" s="34">
        <v>70.999999999999915</v>
      </c>
    </row>
    <row r="42" spans="1:15" x14ac:dyDescent="0.2">
      <c r="A42">
        <v>6</v>
      </c>
      <c r="B42" s="34">
        <v>45</v>
      </c>
      <c r="F42" s="34">
        <v>114</v>
      </c>
      <c r="G42" s="34"/>
      <c r="H42" s="34">
        <v>6.9999999999999751</v>
      </c>
    </row>
    <row r="43" spans="1:15" x14ac:dyDescent="0.2">
      <c r="A43">
        <v>7</v>
      </c>
      <c r="B43" s="34">
        <v>106.99999999999994</v>
      </c>
      <c r="F43" s="34">
        <v>5.9999999999999787</v>
      </c>
      <c r="G43" s="34"/>
      <c r="H43" s="34">
        <v>130.00000000000003</v>
      </c>
    </row>
    <row r="44" spans="1:15" x14ac:dyDescent="0.2">
      <c r="A44">
        <v>7</v>
      </c>
      <c r="B44" s="34">
        <v>11.999999999999957</v>
      </c>
      <c r="F44" s="34">
        <v>5.9999999999999787</v>
      </c>
      <c r="G44" s="34"/>
      <c r="H44" s="34">
        <v>241.99999999999994</v>
      </c>
    </row>
    <row r="45" spans="1:15" x14ac:dyDescent="0.2">
      <c r="A45">
        <v>7</v>
      </c>
      <c r="B45" s="34">
        <v>150.00000000000003</v>
      </c>
      <c r="F45" s="34">
        <v>16.99999999999994</v>
      </c>
      <c r="G45" s="34"/>
      <c r="H45" s="34">
        <v>125</v>
      </c>
    </row>
    <row r="46" spans="1:15" ht="16" x14ac:dyDescent="0.2">
      <c r="A46">
        <v>7</v>
      </c>
      <c r="B46" s="34">
        <v>39.000000000000021</v>
      </c>
      <c r="F46" s="34">
        <v>28.00000000000006</v>
      </c>
      <c r="G46" s="34"/>
      <c r="H46" s="34">
        <v>51.999999999999972</v>
      </c>
      <c r="L46" s="36" t="s">
        <v>368</v>
      </c>
    </row>
    <row r="47" spans="1:15" x14ac:dyDescent="0.2">
      <c r="A47">
        <v>7</v>
      </c>
      <c r="B47" s="34">
        <v>30.000000000000053</v>
      </c>
      <c r="F47" s="34">
        <v>12.999999999999993</v>
      </c>
      <c r="G47" s="34"/>
      <c r="H47" s="34">
        <v>80.000000000000028</v>
      </c>
    </row>
    <row r="48" spans="1:15" x14ac:dyDescent="0.2">
      <c r="A48">
        <v>7</v>
      </c>
      <c r="B48" s="34">
        <v>14.999999999999947</v>
      </c>
      <c r="F48" s="34">
        <v>5.0000000000001421</v>
      </c>
      <c r="H48" s="34">
        <v>46</v>
      </c>
      <c r="L48" t="s">
        <v>366</v>
      </c>
    </row>
    <row r="49" spans="1:12" x14ac:dyDescent="0.2">
      <c r="A49">
        <v>7</v>
      </c>
      <c r="B49" s="34">
        <v>87.000000000000014</v>
      </c>
      <c r="F49" s="34">
        <v>10.999999999999961</v>
      </c>
      <c r="H49" s="34">
        <v>11.999999999999957</v>
      </c>
    </row>
    <row r="50" spans="1:12" x14ac:dyDescent="0.2">
      <c r="A50">
        <v>7</v>
      </c>
      <c r="B50" s="34">
        <v>6.9999999999999751</v>
      </c>
      <c r="F50" s="34">
        <v>28.999999999999897</v>
      </c>
      <c r="H50" s="34">
        <v>52.999999999999972</v>
      </c>
      <c r="L50" t="s">
        <v>367</v>
      </c>
    </row>
    <row r="51" spans="1:12" x14ac:dyDescent="0.2">
      <c r="A51">
        <v>7</v>
      </c>
      <c r="B51" s="34">
        <v>16.000000000000004</v>
      </c>
      <c r="F51" s="34">
        <v>5.9999999999999787</v>
      </c>
      <c r="H51" s="34">
        <v>176</v>
      </c>
    </row>
    <row r="52" spans="1:12" x14ac:dyDescent="0.2">
      <c r="A52">
        <v>7</v>
      </c>
      <c r="B52" s="34">
        <v>15.000000000000027</v>
      </c>
      <c r="F52" s="34">
        <v>137</v>
      </c>
      <c r="H52" s="34">
        <v>1.9999999999999929</v>
      </c>
    </row>
    <row r="53" spans="1:12" x14ac:dyDescent="0.2">
      <c r="A53">
        <v>7</v>
      </c>
      <c r="B53" s="34">
        <v>62.999999999999936</v>
      </c>
      <c r="F53" s="34">
        <v>56.000000000000121</v>
      </c>
      <c r="H53" s="34">
        <v>19.999999999999929</v>
      </c>
    </row>
    <row r="54" spans="1:12" x14ac:dyDescent="0.2">
      <c r="A54">
        <v>7</v>
      </c>
      <c r="B54" s="34">
        <v>20.000000000000089</v>
      </c>
      <c r="F54" s="34">
        <v>22.000000000000082</v>
      </c>
      <c r="H54" s="34">
        <v>55.999999999999957</v>
      </c>
    </row>
    <row r="55" spans="1:12" x14ac:dyDescent="0.2">
      <c r="A55">
        <v>7</v>
      </c>
      <c r="B55" s="34">
        <v>4.9999999999999822</v>
      </c>
      <c r="F55" s="34">
        <v>55.999999999999957</v>
      </c>
      <c r="H55" s="34">
        <v>140.00000000000006</v>
      </c>
    </row>
    <row r="56" spans="1:12" x14ac:dyDescent="0.2">
      <c r="A56">
        <v>7</v>
      </c>
      <c r="B56" s="34">
        <v>3.9999999999999858</v>
      </c>
      <c r="F56" s="34">
        <v>4.9999999999999822</v>
      </c>
      <c r="H56" s="34">
        <v>75.999999999999972</v>
      </c>
    </row>
    <row r="57" spans="1:12" x14ac:dyDescent="0.2">
      <c r="A57">
        <v>7</v>
      </c>
      <c r="B57" s="34">
        <v>23.999999999999993</v>
      </c>
      <c r="F57" s="34">
        <v>9.0000000000001279</v>
      </c>
      <c r="H57" s="34">
        <v>10.999999999999961</v>
      </c>
    </row>
    <row r="58" spans="1:12" x14ac:dyDescent="0.2">
      <c r="A58">
        <v>7</v>
      </c>
      <c r="B58" s="34">
        <v>6.9999999999999751</v>
      </c>
      <c r="F58" s="34">
        <v>6.9999999999999751</v>
      </c>
      <c r="H58" s="34">
        <v>5.9999999999999787</v>
      </c>
    </row>
    <row r="59" spans="1:12" x14ac:dyDescent="0.2">
      <c r="A59">
        <v>7</v>
      </c>
      <c r="B59" s="34">
        <v>5.9999999999999787</v>
      </c>
      <c r="F59" s="34">
        <v>9.9999999999999645</v>
      </c>
      <c r="H59" s="34">
        <v>5.9999999999999787</v>
      </c>
    </row>
    <row r="60" spans="1:12" x14ac:dyDescent="0.2">
      <c r="A60">
        <v>7</v>
      </c>
      <c r="B60" s="34">
        <v>120.00000000000006</v>
      </c>
      <c r="H60" s="34">
        <v>36.000000000000028</v>
      </c>
    </row>
    <row r="61" spans="1:12" x14ac:dyDescent="0.2">
      <c r="A61">
        <v>8</v>
      </c>
      <c r="B61" s="34">
        <v>152.00000000000003</v>
      </c>
      <c r="H61" s="34">
        <v>23.000000000000078</v>
      </c>
    </row>
    <row r="62" spans="1:12" x14ac:dyDescent="0.2">
      <c r="A62">
        <v>8</v>
      </c>
      <c r="B62" s="34">
        <v>22.999999999999918</v>
      </c>
      <c r="H62" s="35"/>
    </row>
    <row r="63" spans="1:12" x14ac:dyDescent="0.2">
      <c r="A63">
        <v>8</v>
      </c>
      <c r="B63" s="34">
        <v>4.9999999999999822</v>
      </c>
      <c r="H63" s="35"/>
    </row>
    <row r="64" spans="1:12" x14ac:dyDescent="0.2">
      <c r="A64">
        <v>8</v>
      </c>
      <c r="B64" s="34">
        <v>22</v>
      </c>
      <c r="H64" s="35"/>
    </row>
    <row r="65" spans="1:8" x14ac:dyDescent="0.2">
      <c r="A65">
        <v>8</v>
      </c>
      <c r="B65" s="34">
        <v>2.9999999999999893</v>
      </c>
      <c r="H65" s="35"/>
    </row>
    <row r="66" spans="1:8" x14ac:dyDescent="0.2">
      <c r="A66">
        <v>8</v>
      </c>
      <c r="B66" s="34">
        <v>29.999999999999893</v>
      </c>
      <c r="H66" s="35"/>
    </row>
    <row r="67" spans="1:8" x14ac:dyDescent="0.2">
      <c r="A67">
        <v>8</v>
      </c>
      <c r="B67" s="34">
        <v>31.999999999999886</v>
      </c>
      <c r="H67" s="35"/>
    </row>
    <row r="68" spans="1:8" x14ac:dyDescent="0.2">
      <c r="A68">
        <v>8</v>
      </c>
      <c r="B68" s="34">
        <v>14</v>
      </c>
      <c r="H68" s="35"/>
    </row>
    <row r="69" spans="1:8" x14ac:dyDescent="0.2">
      <c r="A69">
        <v>8</v>
      </c>
      <c r="B69" s="34">
        <v>2.0000000000001528</v>
      </c>
      <c r="H69" s="35"/>
    </row>
    <row r="70" spans="1:8" x14ac:dyDescent="0.2">
      <c r="A70">
        <v>8</v>
      </c>
      <c r="B70" s="34">
        <v>139</v>
      </c>
      <c r="H70" s="35"/>
    </row>
    <row r="71" spans="1:8" x14ac:dyDescent="0.2">
      <c r="A71">
        <v>8</v>
      </c>
      <c r="B71" s="34">
        <v>61.999999999999979</v>
      </c>
      <c r="H71" s="35"/>
    </row>
    <row r="72" spans="1:8" x14ac:dyDescent="0.2">
      <c r="A72">
        <v>8</v>
      </c>
      <c r="B72" s="34">
        <v>46.000000000000156</v>
      </c>
      <c r="H72" s="35"/>
    </row>
    <row r="73" spans="1:8" x14ac:dyDescent="0.2">
      <c r="A73">
        <v>8</v>
      </c>
      <c r="B73" s="34">
        <v>12.999999999999954</v>
      </c>
    </row>
    <row r="74" spans="1:8" x14ac:dyDescent="0.2">
      <c r="A74">
        <v>8</v>
      </c>
      <c r="B74" s="34">
        <v>6.9999999999999751</v>
      </c>
    </row>
    <row r="75" spans="1:8" x14ac:dyDescent="0.2">
      <c r="A75">
        <v>8</v>
      </c>
      <c r="B75" s="34">
        <v>63.000000000000057</v>
      </c>
    </row>
    <row r="76" spans="1:8" x14ac:dyDescent="0.2">
      <c r="A76">
        <v>8</v>
      </c>
      <c r="B76" s="34">
        <v>1.9999999999999929</v>
      </c>
    </row>
    <row r="77" spans="1:8" x14ac:dyDescent="0.2">
      <c r="A77">
        <v>8</v>
      </c>
      <c r="B77" s="34">
        <v>0.99999999999999645</v>
      </c>
    </row>
    <row r="78" spans="1:8" x14ac:dyDescent="0.2">
      <c r="A78">
        <v>8</v>
      </c>
      <c r="B78" s="34">
        <v>6.9999999999999751</v>
      </c>
    </row>
    <row r="79" spans="1:8" x14ac:dyDescent="0.2">
      <c r="A79">
        <v>8</v>
      </c>
      <c r="B79" s="34">
        <v>17.000000000000099</v>
      </c>
    </row>
    <row r="80" spans="1:8" x14ac:dyDescent="0.2">
      <c r="A80">
        <v>8</v>
      </c>
      <c r="B80" s="34">
        <v>45</v>
      </c>
    </row>
    <row r="81" spans="1:2" x14ac:dyDescent="0.2">
      <c r="A81">
        <v>8</v>
      </c>
      <c r="B81" s="34">
        <v>0.99999999999999645</v>
      </c>
    </row>
    <row r="82" spans="1:2" x14ac:dyDescent="0.2">
      <c r="A82">
        <v>8</v>
      </c>
      <c r="B82" s="34">
        <v>2.9999999999999893</v>
      </c>
    </row>
    <row r="83" spans="1:2" x14ac:dyDescent="0.2">
      <c r="A83">
        <v>8</v>
      </c>
      <c r="B83" s="34">
        <v>51.999999999999972</v>
      </c>
    </row>
    <row r="84" spans="1:2" x14ac:dyDescent="0.2">
      <c r="A84">
        <v>8</v>
      </c>
      <c r="B84" s="34">
        <v>10.999999999999961</v>
      </c>
    </row>
    <row r="85" spans="1:2" x14ac:dyDescent="0.2">
      <c r="A85">
        <v>8</v>
      </c>
      <c r="B85" s="34">
        <v>64.000000000000014</v>
      </c>
    </row>
    <row r="86" spans="1:2" x14ac:dyDescent="0.2">
      <c r="A86">
        <v>9</v>
      </c>
      <c r="B86" s="34">
        <v>4.0000000000001457</v>
      </c>
    </row>
    <row r="87" spans="1:2" x14ac:dyDescent="0.2">
      <c r="A87">
        <v>9</v>
      </c>
      <c r="B87" s="34">
        <v>106.00000000000003</v>
      </c>
    </row>
    <row r="88" spans="1:2" x14ac:dyDescent="0.2">
      <c r="A88">
        <v>9</v>
      </c>
      <c r="B88" s="34">
        <v>72.999999999999901</v>
      </c>
    </row>
    <row r="89" spans="1:2" x14ac:dyDescent="0.2">
      <c r="A89">
        <v>9</v>
      </c>
      <c r="B89" s="34">
        <v>72</v>
      </c>
    </row>
    <row r="90" spans="1:2" x14ac:dyDescent="0.2">
      <c r="A90">
        <v>9</v>
      </c>
      <c r="B90" s="34">
        <v>304.99999999999994</v>
      </c>
    </row>
    <row r="91" spans="1:2" x14ac:dyDescent="0.2">
      <c r="A91">
        <v>9</v>
      </c>
      <c r="B91" s="34">
        <v>11.999999999999957</v>
      </c>
    </row>
    <row r="92" spans="1:2" x14ac:dyDescent="0.2">
      <c r="A92">
        <v>9</v>
      </c>
      <c r="B92" s="34">
        <v>11.000000000000121</v>
      </c>
    </row>
    <row r="93" spans="1:2" x14ac:dyDescent="0.2">
      <c r="A93">
        <v>9</v>
      </c>
      <c r="B93" s="34">
        <v>46.999999999999993</v>
      </c>
    </row>
    <row r="94" spans="1:2" x14ac:dyDescent="0.2">
      <c r="A94">
        <v>9</v>
      </c>
      <c r="B94" s="34">
        <v>18.000000000000096</v>
      </c>
    </row>
    <row r="95" spans="1:2" x14ac:dyDescent="0.2">
      <c r="A95">
        <v>9</v>
      </c>
      <c r="B95" s="34">
        <v>70.999999999999986</v>
      </c>
    </row>
    <row r="96" spans="1:2" x14ac:dyDescent="0.2">
      <c r="A96">
        <v>9</v>
      </c>
      <c r="B96" s="34">
        <v>36</v>
      </c>
    </row>
    <row r="97" spans="1:2" x14ac:dyDescent="0.2">
      <c r="A97">
        <v>10</v>
      </c>
      <c r="B97" s="34">
        <v>20.000000000000007</v>
      </c>
    </row>
    <row r="98" spans="1:2" x14ac:dyDescent="0.2">
      <c r="A98">
        <v>10</v>
      </c>
      <c r="B98" s="34">
        <v>1.9999999999999929</v>
      </c>
    </row>
    <row r="99" spans="1:2" x14ac:dyDescent="0.2">
      <c r="A99">
        <v>10</v>
      </c>
      <c r="B99" s="34">
        <v>30.99999999999989</v>
      </c>
    </row>
    <row r="100" spans="1:2" x14ac:dyDescent="0.2">
      <c r="A100">
        <v>10</v>
      </c>
      <c r="B100" s="34">
        <v>124.00000000000004</v>
      </c>
    </row>
    <row r="101" spans="1:2" x14ac:dyDescent="0.2">
      <c r="A101">
        <v>10</v>
      </c>
      <c r="B101" s="34">
        <v>70.999999999999915</v>
      </c>
    </row>
    <row r="102" spans="1:2" x14ac:dyDescent="0.2">
      <c r="A102">
        <v>10</v>
      </c>
      <c r="B102" s="34">
        <v>6.9999999999999751</v>
      </c>
    </row>
    <row r="103" spans="1:2" x14ac:dyDescent="0.2">
      <c r="A103">
        <v>10</v>
      </c>
      <c r="B103" s="34">
        <v>130.00000000000003</v>
      </c>
    </row>
    <row r="104" spans="1:2" x14ac:dyDescent="0.2">
      <c r="A104">
        <v>10</v>
      </c>
      <c r="B104" s="34">
        <v>241.99999999999994</v>
      </c>
    </row>
    <row r="105" spans="1:2" x14ac:dyDescent="0.2">
      <c r="A105">
        <v>10</v>
      </c>
      <c r="B105" s="34">
        <v>125</v>
      </c>
    </row>
    <row r="106" spans="1:2" x14ac:dyDescent="0.2">
      <c r="A106">
        <v>10</v>
      </c>
      <c r="B106" s="34">
        <v>51.999999999999972</v>
      </c>
    </row>
    <row r="107" spans="1:2" x14ac:dyDescent="0.2">
      <c r="A107">
        <v>10</v>
      </c>
      <c r="B107" s="34">
        <v>80.000000000000028</v>
      </c>
    </row>
    <row r="108" spans="1:2" x14ac:dyDescent="0.2">
      <c r="A108">
        <v>10</v>
      </c>
      <c r="B108" s="34">
        <v>46</v>
      </c>
    </row>
    <row r="109" spans="1:2" x14ac:dyDescent="0.2">
      <c r="A109">
        <v>10</v>
      </c>
      <c r="B109" s="34">
        <v>11.999999999999957</v>
      </c>
    </row>
    <row r="110" spans="1:2" x14ac:dyDescent="0.2">
      <c r="A110">
        <v>10</v>
      </c>
      <c r="B110" s="34">
        <v>52.999999999999972</v>
      </c>
    </row>
    <row r="111" spans="1:2" x14ac:dyDescent="0.2">
      <c r="A111">
        <v>10</v>
      </c>
      <c r="B111" s="34">
        <v>176</v>
      </c>
    </row>
    <row r="112" spans="1:2" x14ac:dyDescent="0.2">
      <c r="A112">
        <v>10</v>
      </c>
      <c r="B112" s="34">
        <v>1.9999999999999929</v>
      </c>
    </row>
    <row r="113" spans="1:2" x14ac:dyDescent="0.2">
      <c r="A113">
        <v>10</v>
      </c>
      <c r="B113" s="34">
        <v>19.999999999999929</v>
      </c>
    </row>
    <row r="114" spans="1:2" x14ac:dyDescent="0.2">
      <c r="A114">
        <v>10</v>
      </c>
      <c r="B114" s="34">
        <v>55.999999999999957</v>
      </c>
    </row>
    <row r="115" spans="1:2" x14ac:dyDescent="0.2">
      <c r="A115">
        <v>10</v>
      </c>
      <c r="B115" s="34">
        <v>140.00000000000006</v>
      </c>
    </row>
    <row r="116" spans="1:2" x14ac:dyDescent="0.2">
      <c r="A116">
        <v>10</v>
      </c>
      <c r="B116" s="34">
        <v>75.999999999999972</v>
      </c>
    </row>
    <row r="117" spans="1:2" x14ac:dyDescent="0.2">
      <c r="A117">
        <v>10</v>
      </c>
      <c r="B117" s="34">
        <v>10.999999999999961</v>
      </c>
    </row>
    <row r="118" spans="1:2" x14ac:dyDescent="0.2">
      <c r="A118">
        <v>10</v>
      </c>
      <c r="B118" s="34">
        <v>5.9999999999999787</v>
      </c>
    </row>
    <row r="119" spans="1:2" x14ac:dyDescent="0.2">
      <c r="A119">
        <v>10</v>
      </c>
      <c r="B119" s="34">
        <v>5.9999999999999787</v>
      </c>
    </row>
    <row r="120" spans="1:2" x14ac:dyDescent="0.2">
      <c r="A120">
        <v>10</v>
      </c>
      <c r="B120" s="34">
        <v>36.000000000000028</v>
      </c>
    </row>
    <row r="121" spans="1:2" x14ac:dyDescent="0.2">
      <c r="A121">
        <v>10</v>
      </c>
      <c r="B121" s="34">
        <v>23.000000000000078</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2a952d1-9523-4060-be56-2c659864b053">
      <Terms xmlns="http://schemas.microsoft.com/office/infopath/2007/PartnerControls"/>
    </lcf76f155ced4ddcb4097134ff3c332f>
    <TaxCatchAll xmlns="9ee8b87a-a36f-4c82-bda6-c9b2d4d7958a" xsi:nil="true"/>
    <SharedWithUsers xmlns="9ee8b87a-a36f-4c82-bda6-c9b2d4d7958a">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541B20A6737BC448766D476FA8AFF09" ma:contentTypeVersion="15" ma:contentTypeDescription="Create a new document." ma:contentTypeScope="" ma:versionID="4b42d2d9281bbc5df5803ca799f17c84">
  <xsd:schema xmlns:xsd="http://www.w3.org/2001/XMLSchema" xmlns:xs="http://www.w3.org/2001/XMLSchema" xmlns:p="http://schemas.microsoft.com/office/2006/metadata/properties" xmlns:ns2="d2a952d1-9523-4060-be56-2c659864b053" xmlns:ns3="9ee8b87a-a36f-4c82-bda6-c9b2d4d7958a" targetNamespace="http://schemas.microsoft.com/office/2006/metadata/properties" ma:root="true" ma:fieldsID="407cac087465d893d8bd2f9aa7d0e595" ns2:_="" ns3:_="">
    <xsd:import namespace="d2a952d1-9523-4060-be56-2c659864b053"/>
    <xsd:import namespace="9ee8b87a-a36f-4c82-bda6-c9b2d4d7958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LengthInSecond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952d1-9523-4060-be56-2c659864b0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b278eec-cad9-4ec1-bf87-f68f02c44eba"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ee8b87a-a36f-4c82-bda6-c9b2d4d7958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89c09e7-06fd-4746-bc15-3d22c5dc9502}" ma:internalName="TaxCatchAll" ma:showField="CatchAllData" ma:web="9ee8b87a-a36f-4c82-bda6-c9b2d4d7958a">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502A3F0-0383-44BE-8764-6B041ED7CA7F}">
  <ds:schemaRefs>
    <ds:schemaRef ds:uri="http://schemas.microsoft.com/sharepoint/v3/contenttype/forms"/>
  </ds:schemaRefs>
</ds:datastoreItem>
</file>

<file path=customXml/itemProps2.xml><?xml version="1.0" encoding="utf-8"?>
<ds:datastoreItem xmlns:ds="http://schemas.openxmlformats.org/officeDocument/2006/customXml" ds:itemID="{95E6D182-6CB5-4B4C-B802-140A47FBC05E}">
  <ds:schemaRefs>
    <ds:schemaRef ds:uri="http://schemas.microsoft.com/office/2006/metadata/properties"/>
    <ds:schemaRef ds:uri="http://purl.org/dc/terms/"/>
    <ds:schemaRef ds:uri="http://purl.org/dc/elements/1.1/"/>
    <ds:schemaRef ds:uri="http://schemas.openxmlformats.org/package/2006/metadata/core-properties"/>
    <ds:schemaRef ds:uri="http://www.w3.org/XML/1998/namespace"/>
    <ds:schemaRef ds:uri="d2a952d1-9523-4060-be56-2c659864b053"/>
    <ds:schemaRef ds:uri="http://schemas.microsoft.com/office/2006/documentManagement/types"/>
    <ds:schemaRef ds:uri="9ee8b87a-a36f-4c82-bda6-c9b2d4d7958a"/>
    <ds:schemaRef ds:uri="http://schemas.microsoft.com/office/infopath/2007/PartnerControls"/>
    <ds:schemaRef ds:uri="http://purl.org/dc/dcmitype/"/>
  </ds:schemaRefs>
</ds:datastoreItem>
</file>

<file path=customXml/itemProps3.xml><?xml version="1.0" encoding="utf-8"?>
<ds:datastoreItem xmlns:ds="http://schemas.openxmlformats.org/officeDocument/2006/customXml" ds:itemID="{8BA599B6-0198-4E0F-9ADE-E9485DFE58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a952d1-9523-4060-be56-2c659864b053"/>
    <ds:schemaRef ds:uri="9ee8b87a-a36f-4c82-bda6-c9b2d4d795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DEM Incidents</vt:lpstr>
      <vt:lpstr>Legend</vt:lpstr>
      <vt:lpstr>DEM Incidents Quant</vt:lpstr>
      <vt:lpstr>plots and stats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Ito, Darton</dc:creator>
  <cp:keywords/>
  <dc:description/>
  <cp:lastModifiedBy>Missy Cummings</cp:lastModifiedBy>
  <cp:revision/>
  <dcterms:created xsi:type="dcterms:W3CDTF">2023-05-09T21:38:40Z</dcterms:created>
  <dcterms:modified xsi:type="dcterms:W3CDTF">2026-09-29T02:33:44Z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0x0101003541B20A6737BC448766D476FA8AFF09</vt:lpwstr>
  </property>
  <property fmtid="{D5CDD505-2E9C-101B-9397-08002B2CF9AE}" pid="3" name="MediaServiceImageTags">
    <vt:lpwstr/>
  </property>
  <property fmtid="{D5CDD505-2E9C-101B-9397-08002B2CF9AE}" pid="4" name="_ExtendedDescription">
    <vt:lpwstr/>
  </property>
  <property fmtid="{D5CDD505-2E9C-101B-9397-08002B2CF9AE}" pid="5" name="Order">
    <vt:r8>1209200</vt:r8>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riggerFlowInfo">
    <vt:lpwstr/>
  </property>
</Properties>
</file>